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rolo1410/Library/CloudStorage/GoogleDrive-rolo4336@gmail.com/Mi unidad/GIZ - Subastar/PRODUCTOS/03_GOBIERNO_DE_DATOS/"/>
    </mc:Choice>
  </mc:AlternateContent>
  <xr:revisionPtr revIDLastSave="0" documentId="13_ncr:1_{B8970CDD-B2AC-B143-992A-C3EF16B4666B}" xr6:coauthVersionLast="47" xr6:coauthVersionMax="47" xr10:uidLastSave="{00000000-0000-0000-0000-000000000000}"/>
  <bookViews>
    <workbookView xWindow="0" yWindow="800" windowWidth="36000" windowHeight="22580" activeTab="9" xr2:uid="{00000000-000D-0000-FFFF-FFFF00000000}"/>
  </bookViews>
  <sheets>
    <sheet name="Portada" sheetId="1" r:id="rId1"/>
    <sheet name="C1 – Estrategia de gestión " sheetId="2" r:id="rId2"/>
    <sheet name="C2 – Programa y financiamie" sheetId="3" r:id="rId3"/>
    <sheet name="C3 – Gobernanza de datos" sheetId="4" r:id="rId4"/>
    <sheet name="C4 – Arquitectura de datos" sheetId="5" r:id="rId5"/>
    <sheet name="C5 – Calidad de datos" sheetId="6" r:id="rId6"/>
    <sheet name="C6 – Control y riesgo de da" sheetId="7" r:id="rId7"/>
    <sheet name="C7 – Metadatos" sheetId="8" r:id="rId8"/>
    <sheet name="C8 – Analítica e inteligenc" sheetId="9" r:id="rId9"/>
    <sheet name="Diagnóstico y Radar" sheetId="10" r:id="rId10"/>
    <sheet name="Plan de Mejora"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23OXS8H2pLvgs8U8EMxVvEzisVA1bqbDW0DixsfNi6A="/>
    </ext>
  </extLst>
</workbook>
</file>

<file path=xl/calcChain.xml><?xml version="1.0" encoding="utf-8"?>
<calcChain xmlns="http://schemas.openxmlformats.org/spreadsheetml/2006/main">
  <c r="C5" i="10" l="1"/>
  <c r="D18" i="9"/>
  <c r="D12" i="10" s="1"/>
  <c r="D18" i="8"/>
  <c r="D11" i="10" s="1"/>
  <c r="D22" i="7"/>
  <c r="D10" i="10" s="1"/>
  <c r="D22" i="6"/>
  <c r="C9" i="10" s="1"/>
  <c r="D18" i="5"/>
  <c r="D8" i="10" s="1"/>
  <c r="D22" i="4"/>
  <c r="D7" i="10" s="1"/>
  <c r="D18" i="3"/>
  <c r="D6" i="10" s="1"/>
  <c r="D18" i="2"/>
  <c r="D5" i="10" s="1"/>
  <c r="D9" i="10" l="1"/>
  <c r="C10" i="10"/>
  <c r="C6" i="10"/>
  <c r="C7" i="10"/>
  <c r="C11" i="10"/>
  <c r="C8" i="10"/>
  <c r="C12" i="10"/>
  <c r="D14" i="1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5" authorId="0" shapeId="0" xr:uid="{00000000-0006-0000-0200-000001000000}">
      <text>
        <r>
          <rPr>
            <sz val="11"/>
            <color theme="1"/>
            <rFont val="Calibri"/>
            <scheme val="minor"/>
          </rPr>
          <t>======
ID#AAAB8Ei4mIA
Rolando Casigña    (2026-05-27 19:55:00)
crear una explicación de la pregunta. está muy general., de ser posile cololcar ejemplos</t>
        </r>
      </text>
    </comment>
  </commentList>
  <extLst>
    <ext xmlns:r="http://schemas.openxmlformats.org/officeDocument/2006/relationships" uri="GoogleSheetsCustomDataVersion2">
      <go:sheetsCustomData xmlns:go="http://customooxmlschemas.google.com/" r:id="rId1" roundtripDataSignature="AMtx7mjqO1HX/gPi7YFSStvXKb/RrISyRw=="/>
    </ext>
  </extLst>
</comments>
</file>

<file path=xl/sharedStrings.xml><?xml version="1.0" encoding="utf-8"?>
<sst xmlns="http://schemas.openxmlformats.org/spreadsheetml/2006/main" count="315" uniqueCount="258">
  <si>
    <t>EVALUACIÓN DE MADUREZ DCAM</t>
  </si>
  <si>
    <t>Adaptado al proceso de venta de ganado · Sistema Subastar</t>
  </si>
  <si>
    <t>Basado en el Data Management Capability Assessment Model (DCAM) – EDM Council</t>
  </si>
  <si>
    <t>Organización evaluada</t>
  </si>
  <si>
    <t>Responsable del levantamiento</t>
  </si>
  <si>
    <t>Fecha de inicio</t>
  </si>
  <si>
    <t>Fecha de cierre</t>
  </si>
  <si>
    <t>Versión del documento</t>
  </si>
  <si>
    <t>1.0</t>
  </si>
  <si>
    <t>Escala de madurez DCAM (1–6)</t>
  </si>
  <si>
    <t>1 – No iniciado</t>
  </si>
  <si>
    <t>Las capacidades no existen o son completamente ad hoc. No hay proceso, política ni responsable definido.</t>
  </si>
  <si>
    <t>2 – Conceptual</t>
  </si>
  <si>
    <t>Existe conciencia del tema y hay conversaciones iniciales. Se planifica pero nada está formalizado ni aprobado.</t>
  </si>
  <si>
    <t>3 – En desarrollo</t>
  </si>
  <si>
    <t>Se han identificado responsables, se aprobó financiamiento inicial y los procedimientos están en construcción.</t>
  </si>
  <si>
    <t>4 – Definido</t>
  </si>
  <si>
    <t>Los procesos están documentados, roles asignados y las políticas aprobadas. Implementación consistente en marcha.</t>
  </si>
  <si>
    <t>5 – Logrado</t>
  </si>
  <si>
    <t>La capacidad está completamente operativa, se mide con KPIs y se mejora continuamente con base en resultados.</t>
  </si>
  <si>
    <t>6 – Mejorado</t>
  </si>
  <si>
    <t>La capacidad está integrada en la cultura organizacional. Se benchmarka con la industria y lidera buenas prácticas.</t>
  </si>
  <si>
    <t>Cómo usar este archivo</t>
  </si>
  <si>
    <t>1. Complete una hoja por cada Componente DCAM (C1 a C8) asignando puntaje 1–6 a cada capacidad.</t>
  </si>
  <si>
    <t>2. Use el desplegable de la columna 'Puntaje' — no escriba el número directamente.</t>
  </si>
  <si>
    <t>3. Documente la evidencia concreta que justifica el puntaje en la columna 'Evidencia observada'.</t>
  </si>
  <si>
    <t>4. Identifique la brecha principal y la acción de mejora recomendada para cada capacidad.</t>
  </si>
  <si>
    <t>5. La hoja 'Diagnóstico y Radar' se actualiza automáticamente con los puntajes ingresados.</t>
  </si>
  <si>
    <t>COMPONENTE 1  ·  ESTRATEGIA DE GESTIÓN DE DATOS</t>
  </si>
  <si>
    <t>Define la visión, objetivos y hoja de ruta del programa de datos alineado al negocio.</t>
  </si>
  <si>
    <t>Escala:  1 No iniciado  ·  2 Conceptual  ·  3 En desarrollo  ·  4 Definido  ·  5 Logrado  ·  6 Mejorado</t>
  </si>
  <si>
    <t>Capacidad</t>
  </si>
  <si>
    <t>Descripción</t>
  </si>
  <si>
    <t>Puntaje
(1–6)</t>
  </si>
  <si>
    <t>Preguntas de evidencia</t>
  </si>
  <si>
    <t>Evidencia observada
(documentar hallazgo)</t>
  </si>
  <si>
    <t>Acción de mejora
recomendada</t>
  </si>
  <si>
    <t>Visión y objetivos de datos</t>
  </si>
  <si>
    <t>Existe una visión documentada sobre cómo los datos apoyan los objetivos del negocio.</t>
  </si>
  <si>
    <t>1. ¿Existe un documento de estrategia de datos aprobado por la gerencia?</t>
  </si>
  <si>
    <t>De acuerdo con el Gerente de Gobernanza, sí existen políticas y procedimientos documentados ("normativa de planta de la empresa") sobre cómo registrar, actualizar o eliminar datos
. Sin embargo, la estrategia profunda, informática y las auditorías de datos no se manejan localmente, sino que están centralizadas desde la gerencia general e informática en Colombia
.</t>
  </si>
  <si>
    <t>2. ¿Los objetivos de datos están alineados con la estrategia del negocio ganadero?</t>
  </si>
  <si>
    <t>Sí, están totalmente alineados. La recolección de datos operativos (registro de clientes, pre-ingreso de volúmenes y lotes) tiene el objetivo directo de hacer "pre-mercadeo" para atraer a los compradores adecuados según la categoría de ganado. Todos los datos registrados en el "Menú SIS" y el módulo de pesaje sustentan el modelo de negocio, permitiendo la facturación y el cobro de comisiones.</t>
  </si>
  <si>
    <t>3. ¿Se comunica la estrategia de datos a todos los niveles de la organización?</t>
  </si>
  <si>
    <t>A nivel operativo sí se aplican las normativas de datos. Se evidencia que los empleados conocen sus responsabilidades de registro y los límites de sus permisos; el sistema tiene accesos diferenciados por roles (operativo, comercial, facturación)
, y el personal operativo tiene claro que una vez ingresado un lote a báscula, los datos son inmodificables</t>
  </si>
  <si>
    <t>Hoja de ruta del programa</t>
  </si>
  <si>
    <t>Existe un plan de acción con iniciativas, plazos y responsables definidos.</t>
  </si>
  <si>
    <t>1. ¿Hay una hoja de ruta de datos con iniciativas priorizadas?</t>
  </si>
  <si>
    <t xml:space="preserve"> No se evidencia en las entrevistas la existencia de una hoja de ruta de datos local formalizada con fechas o presupuestos definidos. Cuando se le consultó al Gerente sobre la visión de gobernanza a mediano plazo, indicó que siempre están dispuestos a realizar mejoras, pero señaló que actualmente la empresa "no tiene que querer un poco mejorar en esto"
. Mencionó que ha habido integraciones recientes con Inteligencia Artificial, pero aclaró que "no con el tema de interferencia de datos"
. Dado que el sistema ("Menú SIS") y su desarrollo pertenecen a la sede en Colombia
, cualquier hoja de ruta tecnológica se rige desde la casa matriz y no como un plan de acción local independiente.</t>
  </si>
  <si>
    <t>2. ¿Las iniciativas de datos tienen fechas, responsables y presupuesto asignado?</t>
  </si>
  <si>
    <t>No existe evidencia de que a nivel local (Subastar Ecuador) se cuente con iniciativas de datos estructuradas que incluyan fechas, responsables locales o un presupuesto asignado.</t>
  </si>
  <si>
    <t>3. ¿Se revisa y actualiza la hoja de ruta periódicamente?</t>
  </si>
  <si>
    <t>A nivel local no existe una revisión ni actualización periódica de una hoja de ruta de datos.</t>
  </si>
  <si>
    <t>Métricas de valor del dato</t>
  </si>
  <si>
    <t>Se miden los beneficios generados por el programa de datos.</t>
  </si>
  <si>
    <t>1. ¿Existen KPIs para medir el impacto de la gestión de datos en el negocio?</t>
  </si>
  <si>
    <t>Sí. Se cuenta con un tablero de informes en el sistema y se maneja un archivo de Excel detallado con indicadores comerciales que incluyen: número de vacas ingresadas, cantidad de compradores, porcentajes de venta y procedencia</t>
  </si>
  <si>
    <t>2. ¿Se reporta el valor del programa de datos a la gerencia?</t>
  </si>
  <si>
    <t xml:space="preserve"> Sí, el Gerente confirmó que evalúa estos datos con alta frecuencia: "Semana a semana se hace un chequeo de indicadores comerciales" para observar autosubastas, proveedores y comercialización
. Estos datos alimentan directamente la toma de decisiones gerenciales y comerciales
</t>
  </si>
  <si>
    <t>3. ¿Se vincula la calidad de datos con resultados operativos (precios, trazabilidad)?</t>
  </si>
  <si>
    <t>Totalmente. La calidad y exactitud del dato es tratada como algo crítico para la operación. El Director Operativo menciona que el error más grave que puede existir es que el número de lote físico pintado en el animal no coincida con el registrado en el sistema, ya que esto afecta directamente quién cobra y quién paga
. Así mismo, el sistema asocia de forma estricta el registro inicial de la guía SIFAE para respaldar el origen y permitir la posterior salida legal de los animales comprado</t>
  </si>
  <si>
    <t>Puntaje promedio del componente</t>
  </si>
  <si>
    <t>COMPONENTE 2  ·  PROGRAMA Y FINANCIAMIENTO</t>
  </si>
  <si>
    <t>Justifica, organiza y financia el programa de gestión de datos de forma sostenida.</t>
  </si>
  <si>
    <t>Caso de negocio del programa</t>
  </si>
  <si>
    <t>Existe un caso de negocio que justifica la inversión en gestión de datos.</t>
  </si>
  <si>
    <t>1. ¿Se ha elaborado un caso de negocio para el programa de datos?</t>
  </si>
  <si>
    <t>No a nivel local. No existe evidencia de que Subastar Ecuador haya elaborado un caso de negocio enfocado en la gestión de datos. El Gerente de Gobernanza aclaró explícitamente que todo el manejo de informática, auditorías y gobernanza profunda se maneja directamente desde la casa matriz en Colombia
. Además, señaló que a nivel local no están buscando mejoras relacionadas con la "interferencia de datos"</t>
  </si>
  <si>
    <t>visibilñizar el negocio</t>
  </si>
  <si>
    <t>2. ¿La gerencia ha aprobado formalmente el programa y su presupuesto?</t>
  </si>
  <si>
    <t>No. Al no existir un programa de datos local autónomo, la gerencia local no aprueba presupuestos para este fin. Cualquier inversión en el desarrollo o mejora del sistema (como integraciones recientes de Inteligencia Artificial) se aprueba y gestiona desde la Gerencia General en Colombia</t>
  </si>
  <si>
    <t>3. ¿El caso de negocio considera los riesgos de NO gestionar los datos?</t>
  </si>
  <si>
    <t>Aunque no existe un documento formal de caso de negocio, a nivel operativo sí existe una alta conciencia del riesgo de un mal manejo de los datos críticos.</t>
  </si>
  <si>
    <t>Estructura del programa</t>
  </si>
  <si>
    <t>El programa tiene una estructura organizacional con roles y responsabilidades claras.</t>
  </si>
  <si>
    <t>1. ¿Existe un comité o equipo responsable del programa de datos?</t>
  </si>
  <si>
    <t>Las auditorías y el control estricto del sistema informático ("Menú SIS") recaen en el departamento de Informática ubicado en Colombia</t>
  </si>
  <si>
    <t>2. ¿Los roles de gestión de datos están definidos en organigramas o descripciones de cargo?</t>
  </si>
  <si>
    <t>No existen títulos formales de "gobernanza de datos", pero las responsabilidades operativas de ingreso y cuidado de datos sí están claramente definidas en los cargos. Se estableció que el Director Operativo es el responsable formal de garantizar que los datos estén correctos y actualizados
. Adicionalmente, el acceso a la información está estrictamente segmentado por roles; por ejemplo, la analista de facturación tiene acceso exclusivo a ese módulo, sin que otras áreas puedan modificarlo</t>
  </si>
  <si>
    <t>3. ¿El programa tiene un sponsor ejecutivo identificado?</t>
  </si>
  <si>
    <t>No a nivel local. Cualquier patrocinio tecnológico y estratégico recae en la alta dirección (Gerencia General) en Colombia, no en la sucursal ecuatoriana</t>
  </si>
  <si>
    <t>Financiamiento sostenible</t>
  </si>
  <si>
    <t>El programa cuenta con presupuesto recurrente, no solo proyecto a proyecto.</t>
  </si>
  <si>
    <t>1. ¿El presupuesto de gestión de datos es recurrente (no solo puntual)?</t>
  </si>
  <si>
    <t>No existe evidencia de un presupuesto asignado, ni recurrente ni puntual, para la gestión de datos en la sucursal de Ecuador.</t>
  </si>
  <si>
    <t>2. ¿Existe un modelo de costos para las actividades de datos?</t>
  </si>
  <si>
    <t>Subastar Ecuador funciona operativamente como un ente comercial y logístico
, adoptando el modelo de negocio y los sistemas ("Menú SIS") creados e implementados por Colombia
. Por lo tanto, no manejan un modelo de costos local estructurado para el mantenimiento, actualización o gobernanza de los datos.</t>
  </si>
  <si>
    <t>3. ¿El financiamiento cubre herramientas, personas y capacitación?</t>
  </si>
  <si>
    <t xml:space="preserve"> En las entrevistas no se menciona ningún tipo de financiamiento local destinado a contratar personal especializado en gobernanza de datos o a capacitar al personal en este ámbito específico; de hecho, el Gerente señala que actualmente la empresa a nivel local no tiene enfoques de mejora en el tema de la "interferencia de datos"</t>
  </si>
  <si>
    <t>COMPONENTE 3  ·  GOBERNANZA DE DATOS</t>
  </si>
  <si>
    <t>Establece políticas, roles, responsabilidades y mecanismos de decisión sobre los datos.</t>
  </si>
  <si>
    <t>Políticas y estándares</t>
  </si>
  <si>
    <t>Existen políticas formales que regulan cómo se gestionan, usan y protegen los datos.</t>
  </si>
  <si>
    <t>1. ¿Existen políticas documentadas de calidad, retención y acceso a datos?</t>
  </si>
  <si>
    <t>El Gerente de Gobernanza confirma que existe una "normativa de planta de la empresa" documentada que dicta cómo se debe registrar, actualizar o eliminar la información. Adicionalmente, el acceso a los datos está estrictamente controlado por políticas del sistema: no todos tienen los mismos permisos, sino que el acceso a cada módulo depende del rango y tipo de puesto del usuario</t>
  </si>
  <si>
    <t>2. ¿Las políticas de datos están aprobadas y comunicadas a los usuarios del sistema Subastar?</t>
  </si>
  <si>
    <t>Sí, operativamente. Aunque la directriz viene de Colombia, los usuarios locales conocen perfectamente sus restricciones. Por ejemplo, el Director Operativo sabe que él es el único que opera el "Módulo de pesaje"
 y que, una vez ingresado un lote, la política del sistema impide su modificación
. Asimismo, la responsable financiera tiene claro que el módulo de facturación es de acceso exclusivo para su cargo</t>
  </si>
  <si>
    <t>3. ¿Se revisan y actualizan las políticas periódicamente?</t>
  </si>
  <si>
    <t>No a nivel local. La revisión de políticas profundas, auditorías y cambios en el sistema se gestionan directamente desde la Gerencia General e Informática en Colombia, no existe evidencia de una revisión periódica autónoma en la sede de Ecuador</t>
  </si>
  <si>
    <t>Roles de gobernanza (Data Owners/Stewards)</t>
  </si>
  <si>
    <t>Están definidos y asignados los responsables de cada dominio de datos.</t>
  </si>
  <si>
    <t>1. ¿Están identificados los Data Owners para cada entidad clave (Animal, Comprador, Transacción)?</t>
  </si>
  <si>
    <t>No bajo títulos formales de "Data Owners", pero sí en la práctica operativa. El "Módulo de pesaje" (datos de animales y lotes) es propiedad exclusiva del Director Operativo, el registro de clientes (compradores/vendedores) recae en el Área Comercial y Operativa, y las transacciones/liquidaciones son de propiedad exclusiva del Área de Facturación.</t>
  </si>
  <si>
    <t>2. ¿Existen Data Stewards responsables de la calidad operativa de los datos?</t>
  </si>
  <si>
    <t>El Gerente designó formalmente al Director Operativo como el responsable de garantizar que los datos estén correctos y actualizados
. Él actúa como el "Data Steward" principal en campo, tomando la decisión crítica de verificar que el lote físico marcado en el animal coincida exactamente con el lote ingresado en el sistema, considerando cualquier discrepancia como un "error grave</t>
  </si>
  <si>
    <t>3. ¿Los roles de gobernanza están documentados con sus responsabilidades?</t>
  </si>
  <si>
    <t>Están documentados dentro de las descripciones y perfiles de cargo ("dependiendo del rango y el tipo de puesto"
), pero están enfocados a la operatividad del sistema "Menú SIS", no como un programa independiente de gobernanza de datos.</t>
  </si>
  <si>
    <t>Glosario y definiciones</t>
  </si>
  <si>
    <t>Existe un vocabulario común y acordado para los términos de negocio clave.</t>
  </si>
  <si>
    <t>1. ¿Existe un glosario de términos de negocio (Lote, Arete, Guía, Puja base)?</t>
  </si>
  <si>
    <t>No existe evidencia de un documento formal tipo "glosario"pero existe una estandarización estricta de los términos impuesta por el propio sistema informático. Conceptos como "Autosubasta"
, "Liquidación de compra/venta"
, "Guía de Movilización (SIFAE)"
 y "Lote"
 significan exactamente lo mismo para todos los actores porque los campos del "Menú SIS" así lo exigen.</t>
  </si>
  <si>
    <t>2. ¿El glosario es accesible a todos los usuarios del sistema?</t>
  </si>
  <si>
    <t>No. Al carecer de un documento formal de glosario de datos, estas prácticas no se aplican</t>
  </si>
  <si>
    <t>3. ¿Se gestiona el glosario de forma centralizada y con control de versiones?</t>
  </si>
  <si>
    <t>Comité de gobernanza</t>
  </si>
  <si>
    <t>Existe un foro formal para tomar decisiones sobre políticas y estándares de datos.</t>
  </si>
  <si>
    <t>1. ¿Existe un comité o instancia formal para resolver conflictos de datos?</t>
  </si>
  <si>
    <t xml:space="preserve">No a nivel local. El Gerente de Gobernanza es claro al indicar que cualquier tema relacionado con auditorías informáticas o resolución de problemas profundos de datos no se maneja en Ecuador, sino que recae directamente en la Gerencia General junto con el departamento de Informática en Colombia
</t>
  </si>
  <si>
    <t>2. ¿Las decisiones sobre datos se documentan y comunican?</t>
  </si>
  <si>
    <t>Al no existir un comité de gobernanza de datos en Subastar Ecuador, no se generan actas, reuniones formales ni comunicaciones de decisiones estratégicas de datos a nivel local</t>
  </si>
  <si>
    <t>3. ¿El comité se reúne con frecuencia definida y tiene actas?</t>
  </si>
  <si>
    <t>No. Al carecer de un comité, estas prácticas no se aplican</t>
  </si>
  <si>
    <t>COMPONENTE 4  ·  ARQUITECTURA DE DATOS</t>
  </si>
  <si>
    <t>Define la estructura, flujos e integración de datos entre sistemas y procesos.</t>
  </si>
  <si>
    <t>Modelo de datos del negocio</t>
  </si>
  <si>
    <t>Existe un modelo de datos que refleja las entidades del proceso de venta de ganado.</t>
  </si>
  <si>
    <t>1. ¿Existe un modelo entidad-relación (ER) documentado del sistema Subastar?</t>
  </si>
  <si>
    <t>No a nivel local. La arquitectura del software ("Menú SIS", Módulo de pesaje, etc.) fue creada y es administrada íntegramente por la casa matriz en Colombia. No hay evidencia de que la sucursal en Ecuador posea documentación técnica sobre la estructura de la base de datos.</t>
  </si>
  <si>
    <t>2. ¿El modelo de datos está actualizado y refleja el estado actual de la base de datos?</t>
  </si>
  <si>
    <t>No para el equipo de Ecuador. Subastar Ecuador no cuenta con un departamento de TI local (informática se maneja desde Colombia)</t>
  </si>
  <si>
    <t>3. ¿El modelo es accesible para el equipo de negocio y TI?</t>
  </si>
  <si>
    <t>El equipo de negocio local (Gerente, Director Comercial, Operador) interactúa únicamente con la interfaz operativa del sistema (front-end) y no tiene acceso a los modelos de bases de datos o diagramas ER</t>
  </si>
  <si>
    <t>Mapa de flujos de datos</t>
  </si>
  <si>
    <t>Se documenta cómo fluyen los datos entre sistemas, procesos y actores.</t>
  </si>
  <si>
    <t>1. ¿Existe un mapa de flujo de datos desde el registro del animal hasta la transacción?</t>
  </si>
  <si>
    <t xml:space="preserve"> No hay evidencia de un documento técnico local, aunque el flujo es conocido operativamente. El personal conoce a la perfección la ruta de los datos (Página web para clientes -&gt; Módulo de pesaje -&gt; Display -&gt; Menú SIS -&gt; SIESA/Génesis para facturación)
, pero no se menciona la existencia de un mapa formal de arquitectura documentado en la sede local.</t>
  </si>
  <si>
    <t>2. ¿Se documentan las integraciones entre Subastar, ERP, AGROCALIDAD y otros sistemas? auditoria</t>
  </si>
  <si>
    <t xml:space="preserve">Al no haber departamento TI local, no hay documentación técnica a la mano, pero operativamente se aclaró lo siguiente sobre las integraciones:
Integración Contable (Sí existe): El Menú SIS exporta la información al sistema ERP "SIESA/Génesis", el cual se vincula y valida datos automáticamente con el SRI
.
Integración con AGROCALIDAD (No existe): Se confirmó explícitamente que el sistema gubernamental SIFAE es "muy independiente a nuestro programa"
. No existe integración entre ambos; el personal de Subastar simplemente entra al portal web externo de SIFAE para verificar visualmente los códigos de las guías de movilización físicas que entregan los ganaderos
</t>
  </si>
  <si>
    <t>3. ¿Se identifican y documentan los puntos de entrada manual de datos?</t>
  </si>
  <si>
    <t>Sí, en la práctica operativa están estrictamente identificados. Se han definido tres puntos de entrada principales y separados: el formulario web de inscripción para clientes nuevos, el "Módulo de pesaje" operado exclusivamente por el Director Operativo, y el "Módulo Display" para registrar el avance de la puja.</t>
  </si>
  <si>
    <t>Gestión de datos maestros y de referencia</t>
  </si>
  <si>
    <t>Los datos compartidos (razas, provincias, usuarios) se gestionan de forma centralizada.</t>
  </si>
  <si>
    <t>1. ¿Existe una fuente única de verdad para datos maestros como razas, provincias, compradores?</t>
  </si>
  <si>
    <t xml:space="preserve">Sí. El "Menú SIS" funciona como el sistema centralizado y la única fuente de verdad. El operador confirma que toda la información recolectada desde otras plataformas "se almacena en el SIS. El SIS es nuestro módulo principal donde toda la información recolectada se almacena"
</t>
  </si>
  <si>
    <t>2. ¿Los datos de referencia se sincronizan entre todos los módulos del sistema?</t>
  </si>
  <si>
    <t xml:space="preserve">Sí, están sincronizados. El módulo de pesaje y el módulo display no almacenan información permanentemente de forma aislada, sino que envían los registros de forma automática al sistema central SIS
. Del mismo modo, un cliente registrado en la página web se refleja directamente en el módulo de clientes del SIS
</t>
  </si>
  <si>
    <t>3. ¿Se controlan los cambios en los datos de referencia con aprobación y versión?</t>
  </si>
  <si>
    <t xml:space="preserve"> Sí, a través de bloqueos estrictos del sistema (Hard-coded). Más que un flujo de aprobación de versiones manual, el control de cambios está automatizado por restricciones del software. Una vez que un lote es ingresado en la báscula, o una vez que el animal es facturado, el sistema bloquea los datos y ya no permite su edición o modificación local</t>
  </si>
  <si>
    <t>COMPONENTE 5  ·  CALIDAD DE DATOS</t>
  </si>
  <si>
    <t>Asegura que los datos sean exactos, completos, consistentes, oportunos y confiables.</t>
  </si>
  <si>
    <t>Reglas y validaciones de calidad</t>
  </si>
  <si>
    <t>Existen reglas activas que validan la calidad de los datos al momento del ingreso.</t>
  </si>
  <si>
    <t>1. ¿El sistema Subastar tiene validaciones activas para campos obligatorios?</t>
  </si>
  <si>
    <t>2. ¿Existen reglas que detecten duplicados de animales o compradores?</t>
  </si>
  <si>
    <t>3. ¿Se validan formatos como números de arete, cédulas o fechas?</t>
  </si>
  <si>
    <t>Medición y monitoreo de calidad</t>
  </si>
  <si>
    <t>Se mide regularmente la calidad de los datos con indicadores definidos.</t>
  </si>
  <si>
    <t>1. ¿Se mide la completitud de los campos críticos (arete, peso, estado sanitario)?</t>
  </si>
  <si>
    <t>2. ¿Existe un reporte periódico de calidad de datos para los responsables?</t>
  </si>
  <si>
    <t>3. ¿Se mide la consistencia de datos entre módulos del sistema Subastar?</t>
  </si>
  <si>
    <t>Proceso de corrección de errores</t>
  </si>
  <si>
    <t>Existe un proceso definido para reportar y corregir problemas de calidad.</t>
  </si>
  <si>
    <t>1. ¿Existe un canal formal para reportar errores de datos al área responsable?</t>
  </si>
  <si>
    <t>2. ¿Se documenta quién corrigió un dato, cuándo y por qué razón?</t>
  </si>
  <si>
    <t>3. ¿Los errores corregidos se analizan para prevenir recurrencia?</t>
  </si>
  <si>
    <t>Perfilado y análisis de datos</t>
  </si>
  <si>
    <t>Se realizan análisis periódicos del estado de los datos en la base de datos.</t>
  </si>
  <si>
    <t>1. ¿Se realiza perfilado de datos (análisis de nulos, duplicados, rangos) periódicamente?</t>
  </si>
  <si>
    <t>2. ¿Los resultados del perfilado se comparten con Data Owners y Stewards?</t>
  </si>
  <si>
    <t>3. ¿Se priorizan las correcciones según impacto en el proceso de subasta?</t>
  </si>
  <si>
    <t>COMPONENTE 6  ·  CONTROL Y RIESGO DE DATOS</t>
  </si>
  <si>
    <t>Identifica, mitiga y monitorea los riesgos asociados a seguridad, privacidad y uso de datos.</t>
  </si>
  <si>
    <t>Clasificación y seguridad de datos</t>
  </si>
  <si>
    <t>Los datos están clasificados por sensibilidad y tienen controles de protección adecuados.</t>
  </si>
  <si>
    <t>1. ¿Los datos del sistema Subastar están clasificados (Público, Interno, Confidencial, Restringido)?</t>
  </si>
  <si>
    <t>2. ¿Los datos sensibles de compradores y vendedores tienen controles especiales de acceso?</t>
  </si>
  <si>
    <t>3. ¿Se aplica cifrado a datos en tránsito y en reposo para información sensible?</t>
  </si>
  <si>
    <t>Control de acceso y perfiles</t>
  </si>
  <si>
    <t>El acceso a los datos está controlado según el rol y necesidad de cada usuario.</t>
  </si>
  <si>
    <t>1. ¿Existen perfiles de usuario diferenciados (solo lectura, edición, administración)?</t>
  </si>
  <si>
    <t>2. ¿El acceso al sistema Subastar se revisa y actualiza cuando cambian los roles?</t>
  </si>
  <si>
    <t>3. ¿Se registra un log de auditoría de quién accedió y modificó cada registro?</t>
  </si>
  <si>
    <t>Cumplimiento normativo (LOPDP / AGROCALIDAD)</t>
  </si>
  <si>
    <t>El manejo de datos cumple con las regulaciones aplicables en Ecuador.</t>
  </si>
  <si>
    <t>1. ¿La empresa conoce y aplica las obligaciones de la LOPDP para datos personales?</t>
  </si>
  <si>
    <t>2. ¿Existe un registro de actividades de tratamiento de datos personales?</t>
  </si>
  <si>
    <t>3. ¿Los datos de trazabilidad animal cumplen con los requisitos de AGROCALIDAD?</t>
  </si>
  <si>
    <t>Gestión de incidentes de datos</t>
  </si>
  <si>
    <t>Existe un proceso para detectar, responder y reportar incidentes de datos.</t>
  </si>
  <si>
    <t>1. ¿Existe un proceso documentado para responder a incidentes de pérdida o filtración de datos?</t>
  </si>
  <si>
    <t>2. ¿Los incidentes de datos se reportan a la gerencia y a los organismos correspondientes?</t>
  </si>
  <si>
    <t>3. ¿Se realizan respaldos periódicos y se prueban las restauraciones?</t>
  </si>
  <si>
    <t>COMPONENTE 7  ·  METADATOS</t>
  </si>
  <si>
    <t>Documenta el contexto, linaje, significado y características técnicas de los datos.</t>
  </si>
  <si>
    <t>Diccionario de datos</t>
  </si>
  <si>
    <t>Existe documentación de los campos, tipos y significados de los datos del sistema.</t>
  </si>
  <si>
    <t>1. ¿Existe un diccionario de datos del sistema Subastar con descripción de cada campo?</t>
  </si>
  <si>
    <t>2. ¿El diccionario de datos está actualizado con la versión actual de la base de datos?</t>
  </si>
  <si>
    <t>3. ¿El diccionario es accesible tanto para el equipo de negocio como para TI?</t>
  </si>
  <si>
    <t>Linaje de datos</t>
  </si>
  <si>
    <t>Se documenta el origen y transformaciones que sufre cada dato a lo largo del proceso.</t>
  </si>
  <si>
    <t>1. ¿Se documenta de dónde viene cada dato (AGROCALIDAD, báscula, formulario manual)?</t>
  </si>
  <si>
    <t>2. ¿Se registran las transformaciones que sufren los datos entre sistemas?</t>
  </si>
  <si>
    <t>3. ¿El linaje permite rastrear un error hasta su origen?</t>
  </si>
  <si>
    <t>Gestión centralizada de metadatos</t>
  </si>
  <si>
    <t>Los metadatos se gestionan en una herramienta o repositorio centralizado.</t>
  </si>
  <si>
    <t>1. ¿Los metadatos se gestionan en una herramienta centralizada (catálogo de datos)?</t>
  </si>
  <si>
    <t>2. ¿Los metadatos se actualizan cuando cambia el modelo de datos o los procesos?</t>
  </si>
  <si>
    <t>3. ¿Los metadatos son accesibles para los usuarios que los necesitan?</t>
  </si>
  <si>
    <t>COMPONENTE 8  ·  ANALÍTICA E INTELIGENCIA DE DATOS</t>
  </si>
  <si>
    <t>Aprovecha los datos del proceso de venta para generar insights y apoyar la toma de decisiones.</t>
  </si>
  <si>
    <t>Reportes y dashboards operativos</t>
  </si>
  <si>
    <t>Existen reportes estandarizados que apoyan las operaciones diarias de la subasta.</t>
  </si>
  <si>
    <t>1. ¿Existen reportes estándar de resultados de subasta (precios, volumen, compradores)?</t>
  </si>
  <si>
    <t>2. ¿Los reportes son confiables y los usuarios los usan para tomar decisiones?</t>
  </si>
  <si>
    <t>3. ¿Los reportes están disponibles oportunamente después de cada evento de subasta?</t>
  </si>
  <si>
    <t>Análisis histórico y tendencias</t>
  </si>
  <si>
    <t>Se analiza la evolución de datos históricos para identificar patrones y tendencias.</t>
  </si>
  <si>
    <t>1. ¿Se analizan tendencias de precios de ganado a lo largo del tiempo?</t>
  </si>
  <si>
    <t>2. ¿Se identifican patrones de comportamiento de compradores o vendedores recurrentes?</t>
  </si>
  <si>
    <t>3. ¿Los análisis históricos se usan para mejorar la planificación de subastas?</t>
  </si>
  <si>
    <t>Gobierno del ciclo analítico</t>
  </si>
  <si>
    <t>El proceso de generación y publicación de análisis tiene controles y responsables.</t>
  </si>
  <si>
    <t>1. ¿Los reportes y análisis tienen un responsable definido de su calidad y actualización?</t>
  </si>
  <si>
    <t>2. ¿Existe un proceso de validación antes de publicar análisis a la gerencia?</t>
  </si>
  <si>
    <t>3. ¿Se documenta la fuente y metodología de los indicadores reportados?</t>
  </si>
  <si>
    <t>DIAGNÓSTICO CONSOLIDADO DE MADUREZ DCAM</t>
  </si>
  <si>
    <t>Los puntajes se actualizan automáticamente desde las hojas de cada componente</t>
  </si>
  <si>
    <t>Componente DCAM</t>
  </si>
  <si>
    <t>Puntaje
Promedio</t>
  </si>
  <si>
    <t>Nivel de madurez</t>
  </si>
  <si>
    <t>Principales brechas
identificadas</t>
  </si>
  <si>
    <t>Prioridad de
mejora (A/M/B)</t>
  </si>
  <si>
    <t>C1 · Estrategia de gestión de datos</t>
  </si>
  <si>
    <t>la soluciones existentes permiten la gestion en sus diferentes etapas, es una solucion funcional en linea</t>
  </si>
  <si>
    <t xml:space="preserve">mejorar e innovar </t>
  </si>
  <si>
    <t>C2 · Programa y financiamiento</t>
  </si>
  <si>
    <t>Las aplicicones pertenecen a terceros y y no existen integraciones , por lo que la comunincacion resulta ser un proceso manual, que introduce un posible error humnano</t>
  </si>
  <si>
    <t>C3 · Gobernanza de datos</t>
  </si>
  <si>
    <t>no fomra parte del prceoso de subastar Ecuador, la gestión y toma de deciciones</t>
  </si>
  <si>
    <t>C4 · Arquitectura de datos</t>
  </si>
  <si>
    <t>C5 · Calidad de datos</t>
  </si>
  <si>
    <t>C6 · Control y riesgo de datos</t>
  </si>
  <si>
    <t>C7 · Metadatos</t>
  </si>
  <si>
    <t>C8 · Analítica e inteligencia de datos</t>
  </si>
  <si>
    <t>PUNTAJE GLOBAL DE MADUREZ</t>
  </si>
  <si>
    <t>PLAN DE MEJORA DE GOBERNANZA DE DATOS</t>
  </si>
  <si>
    <t>Completar una fila por acción de mejora identificada durante la evaluación DCAM</t>
  </si>
  <si>
    <t>Comp.</t>
  </si>
  <si>
    <t>Capacidad afectada</t>
  </si>
  <si>
    <t>Acción de mejora</t>
  </si>
  <si>
    <t>Responsable</t>
  </si>
  <si>
    <t>Prioridad
(A/M/B)</t>
  </si>
  <si>
    <t>Plazo
estimado</t>
  </si>
  <si>
    <t>Estado</t>
  </si>
  <si>
    <t>Fecha cierre</t>
  </si>
  <si>
    <t>Subastar EC</t>
  </si>
  <si>
    <t>Bryan Sanches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</si>
</sst>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7">
    <font>
      <sz val="11"/>
      <color theme="1"/>
      <name val="Calibri"/>
      <scheme val="minor"/>
    </font>
    <font>
      <b/>
      <sz val="20"/>
      <color rgb="FFFFFFFF"/>
      <name val="Arial"/>
    </font>
    <font>
      <sz val="11"/>
      <name val="Calibri"/>
    </font>
    <font>
      <i/>
      <sz val="12"/>
      <color rgb="FFDEEAF1"/>
      <name val="Arial"/>
    </font>
    <font>
      <sz val="10"/>
      <color rgb="FF1F4E79"/>
      <name val="Arial"/>
    </font>
    <font>
      <b/>
      <sz val="10"/>
      <color rgb="FF1F4E79"/>
      <name val="Arial"/>
    </font>
    <font>
      <sz val="10"/>
      <color rgb="FF000000"/>
      <name val="Arial"/>
    </font>
    <font>
      <b/>
      <sz val="11"/>
      <color rgb="FFFFFFFF"/>
      <name val="Arial"/>
    </font>
    <font>
      <b/>
      <sz val="10"/>
      <color rgb="FFC00000"/>
      <name val="Arial"/>
    </font>
    <font>
      <sz val="9"/>
      <color rgb="FF404040"/>
      <name val="Arial"/>
    </font>
    <font>
      <b/>
      <sz val="10"/>
      <color rgb="FFE26B0A"/>
      <name val="Arial"/>
    </font>
    <font>
      <b/>
      <sz val="10"/>
      <color rgb="FFFFC000"/>
      <name val="Arial"/>
    </font>
    <font>
      <b/>
      <sz val="10"/>
      <color rgb="FF70AD47"/>
      <name val="Arial"/>
    </font>
    <font>
      <b/>
      <sz val="10"/>
      <color rgb="FF538135"/>
      <name val="Arial"/>
    </font>
    <font>
      <b/>
      <sz val="10"/>
      <color rgb="FF375623"/>
      <name val="Arial"/>
    </font>
    <font>
      <b/>
      <sz val="14"/>
      <color rgb="FFFFFFFF"/>
      <name val="Arial"/>
    </font>
    <font>
      <i/>
      <sz val="10"/>
      <color rgb="FF1F4E79"/>
      <name val="Arial"/>
    </font>
    <font>
      <i/>
      <sz val="9"/>
      <color rgb="FF404040"/>
      <name val="Arial"/>
    </font>
    <font>
      <b/>
      <sz val="10"/>
      <color rgb="FFFFFFFF"/>
      <name val="Arial"/>
    </font>
    <font>
      <b/>
      <sz val="14"/>
      <color rgb="FF1F4E79"/>
      <name val="Arial"/>
    </font>
    <font>
      <sz val="11"/>
      <color theme="1"/>
      <name val="Calibri"/>
    </font>
    <font>
      <i/>
      <sz val="10"/>
      <color rgb="FF375623"/>
      <name val="Arial"/>
    </font>
    <font>
      <b/>
      <sz val="14"/>
      <color rgb="FF375623"/>
      <name val="Arial"/>
    </font>
    <font>
      <i/>
      <sz val="10"/>
      <color rgb="FF7030A0"/>
      <name val="Arial"/>
    </font>
    <font>
      <b/>
      <sz val="10"/>
      <color rgb="FF7030A0"/>
      <name val="Arial"/>
    </font>
    <font>
      <b/>
      <sz val="14"/>
      <color rgb="FF7030A0"/>
      <name val="Arial"/>
    </font>
    <font>
      <sz val="12"/>
      <color rgb="FF303030"/>
      <name val="Google Sans"/>
    </font>
    <font>
      <i/>
      <sz val="10"/>
      <color rgb="FF833C00"/>
      <name val="Arial"/>
    </font>
    <font>
      <b/>
      <sz val="10"/>
      <color rgb="FF833C00"/>
      <name val="Arial"/>
    </font>
    <font>
      <b/>
      <sz val="14"/>
      <color rgb="FF833C00"/>
      <name val="Arial"/>
    </font>
    <font>
      <i/>
      <sz val="10"/>
      <color rgb="FF2E4053"/>
      <name val="Arial"/>
    </font>
    <font>
      <b/>
      <sz val="10"/>
      <color rgb="FF2E4053"/>
      <name val="Arial"/>
    </font>
    <font>
      <b/>
      <sz val="14"/>
      <color rgb="FF2E4053"/>
      <name val="Arial"/>
    </font>
    <font>
      <i/>
      <sz val="10"/>
      <color rgb="FF1B5E20"/>
      <name val="Arial"/>
    </font>
    <font>
      <b/>
      <sz val="10"/>
      <color rgb="FF1B5E20"/>
      <name val="Arial"/>
    </font>
    <font>
      <b/>
      <sz val="14"/>
      <color rgb="FF1B5E20"/>
      <name val="Arial"/>
    </font>
    <font>
      <i/>
      <sz val="10"/>
      <color rgb="FF4A148C"/>
      <name val="Arial"/>
    </font>
    <font>
      <b/>
      <sz val="10"/>
      <color rgb="FF4A148C"/>
      <name val="Arial"/>
    </font>
    <font>
      <b/>
      <sz val="14"/>
      <color rgb="FF4A148C"/>
      <name val="Arial"/>
    </font>
    <font>
      <i/>
      <sz val="10"/>
      <color rgb="FFB71C1C"/>
      <name val="Arial"/>
    </font>
    <font>
      <b/>
      <sz val="10"/>
      <color rgb="FFB71C1C"/>
      <name val="Arial"/>
    </font>
    <font>
      <b/>
      <sz val="14"/>
      <color rgb="FFB71C1C"/>
      <name val="Arial"/>
    </font>
    <font>
      <b/>
      <sz val="16"/>
      <color rgb="FFFFFFFF"/>
      <name val="Arial"/>
    </font>
    <font>
      <b/>
      <sz val="10"/>
      <color rgb="FF404040"/>
      <name val="Arial"/>
    </font>
    <font>
      <b/>
      <sz val="12"/>
      <color rgb="FFFFFFFF"/>
      <name val="Arial"/>
    </font>
    <font>
      <b/>
      <sz val="16"/>
      <color rgb="FF1F4E79"/>
      <name val="Arial"/>
    </font>
    <font>
      <sz val="10"/>
      <color rgb="FF000000"/>
      <name val="Arial"/>
      <family val="2"/>
    </font>
  </fonts>
  <fills count="27">
    <fill>
      <patternFill patternType="none"/>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2F2F2"/>
        <bgColor rgb="FFF2F2F2"/>
      </patternFill>
    </fill>
    <fill>
      <patternFill patternType="solid">
        <fgColor rgb="FFFFFFFF"/>
        <bgColor rgb="FFFFFFFF"/>
      </patternFill>
    </fill>
    <fill>
      <patternFill patternType="solid">
        <fgColor rgb="FFFFCCCC"/>
        <bgColor rgb="FFFFCCCC"/>
      </patternFill>
    </fill>
    <fill>
      <patternFill patternType="solid">
        <fgColor rgb="FFFCE4D6"/>
        <bgColor rgb="FFFCE4D6"/>
      </patternFill>
    </fill>
    <fill>
      <patternFill patternType="solid">
        <fgColor rgb="FFFFEB9C"/>
        <bgColor rgb="FFFFEB9C"/>
      </patternFill>
    </fill>
    <fill>
      <patternFill patternType="solid">
        <fgColor rgb="FFE2EFDA"/>
        <bgColor rgb="FFE2EFDA"/>
      </patternFill>
    </fill>
    <fill>
      <patternFill patternType="solid">
        <fgColor rgb="FFD9EAD3"/>
        <bgColor rgb="FFD9EAD3"/>
      </patternFill>
    </fill>
    <fill>
      <patternFill patternType="solid">
        <fgColor rgb="FFC6EFCE"/>
        <bgColor rgb="FFC6EFCE"/>
      </patternFill>
    </fill>
    <fill>
      <patternFill patternType="solid">
        <fgColor rgb="FFFAFAFA"/>
        <bgColor rgb="FFFAFAFA"/>
      </patternFill>
    </fill>
    <fill>
      <patternFill patternType="solid">
        <fgColor rgb="FFFFC000"/>
        <bgColor rgb="FFFFC000"/>
      </patternFill>
    </fill>
    <fill>
      <patternFill patternType="solid">
        <fgColor rgb="FF375623"/>
        <bgColor rgb="FF375623"/>
      </patternFill>
    </fill>
    <fill>
      <patternFill patternType="solid">
        <fgColor rgb="FF7030A0"/>
        <bgColor rgb="FF7030A0"/>
      </patternFill>
    </fill>
    <fill>
      <patternFill patternType="solid">
        <fgColor rgb="FFEDE7F4"/>
        <bgColor rgb="FFEDE7F4"/>
      </patternFill>
    </fill>
    <fill>
      <patternFill patternType="solid">
        <fgColor rgb="FF833C00"/>
        <bgColor rgb="FF833C00"/>
      </patternFill>
    </fill>
    <fill>
      <patternFill patternType="solid">
        <fgColor rgb="FF2E4053"/>
        <bgColor rgb="FF2E4053"/>
      </patternFill>
    </fill>
    <fill>
      <patternFill patternType="solid">
        <fgColor rgb="FFD5E8F5"/>
        <bgColor rgb="FFD5E8F5"/>
      </patternFill>
    </fill>
    <fill>
      <patternFill patternType="solid">
        <fgColor rgb="FF1B5E20"/>
        <bgColor rgb="FF1B5E20"/>
      </patternFill>
    </fill>
    <fill>
      <patternFill patternType="solid">
        <fgColor rgb="FFE8F5E9"/>
        <bgColor rgb="FFE8F5E9"/>
      </patternFill>
    </fill>
    <fill>
      <patternFill patternType="solid">
        <fgColor rgb="FF4A148C"/>
        <bgColor rgb="FF4A148C"/>
      </patternFill>
    </fill>
    <fill>
      <patternFill patternType="solid">
        <fgColor rgb="FFF3E5F5"/>
        <bgColor rgb="FFF3E5F5"/>
      </patternFill>
    </fill>
    <fill>
      <patternFill patternType="solid">
        <fgColor rgb="FFB71C1C"/>
        <bgColor rgb="FFB71C1C"/>
      </patternFill>
    </fill>
    <fill>
      <patternFill patternType="solid">
        <fgColor rgb="FFFFEBEE"/>
        <bgColor rgb="FFFFEBEE"/>
      </patternFill>
    </fill>
  </fills>
  <borders count="17">
    <border>
      <left/>
      <right/>
      <top/>
      <bottom/>
      <diagonal/>
    </border>
    <border>
      <left/>
      <right/>
      <top/>
      <bottom/>
      <diagonal/>
    </border>
    <border>
      <left/>
      <right/>
      <top/>
      <bottom/>
      <diagonal/>
    </border>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BBBBBB"/>
      </left>
      <right style="thin">
        <color rgb="FFBBBBBB"/>
      </right>
      <top style="thin">
        <color rgb="FFBBBBBB"/>
      </top>
      <bottom/>
      <diagonal/>
    </border>
    <border>
      <left/>
      <right/>
      <top/>
      <bottom style="thin">
        <color rgb="FFDDDDDD"/>
      </bottom>
      <diagonal/>
    </border>
    <border>
      <left style="thin">
        <color rgb="FFBBBBBB"/>
      </left>
      <right style="thin">
        <color rgb="FFBBBBBB"/>
      </right>
      <top style="thin">
        <color rgb="FFBBBBBB"/>
      </top>
      <bottom/>
      <diagonal/>
    </border>
    <border>
      <left style="thin">
        <color rgb="FFBBBBBB"/>
      </left>
      <right style="thin">
        <color rgb="FFBBBBBB"/>
      </right>
      <top/>
      <bottom/>
      <diagonal/>
    </border>
    <border>
      <left style="thin">
        <color rgb="FFBBBBBB"/>
      </left>
      <right style="thin">
        <color rgb="FFBBBBBB"/>
      </right>
      <top/>
      <bottom/>
      <diagonal/>
    </border>
    <border>
      <left style="thin">
        <color rgb="FFBBBBBB"/>
      </left>
      <right style="thin">
        <color rgb="FFBBBBBB"/>
      </right>
      <top/>
      <bottom/>
      <diagonal/>
    </border>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125">
    <xf numFmtId="0" fontId="0" fillId="0" borderId="0" xfId="0"/>
    <xf numFmtId="0" fontId="5" fillId="5" borderId="4" xfId="0" applyFont="1" applyFill="1" applyBorder="1" applyAlignment="1">
      <alignment horizontal="left" vertical="center"/>
    </xf>
    <xf numFmtId="0" fontId="8" fillId="7" borderId="4" xfId="0" applyFont="1" applyFill="1" applyBorder="1" applyAlignment="1">
      <alignment horizontal="center" vertical="center"/>
    </xf>
    <xf numFmtId="0" fontId="10" fillId="8" borderId="4" xfId="0" applyFont="1" applyFill="1" applyBorder="1" applyAlignment="1">
      <alignment horizontal="center" vertical="center"/>
    </xf>
    <xf numFmtId="0" fontId="11" fillId="9" borderId="4" xfId="0" applyFont="1" applyFill="1" applyBorder="1" applyAlignment="1">
      <alignment horizontal="center" vertical="center"/>
    </xf>
    <xf numFmtId="0" fontId="12" fillId="10" borderId="4" xfId="0" applyFont="1" applyFill="1" applyBorder="1" applyAlignment="1">
      <alignment horizontal="center" vertical="center"/>
    </xf>
    <xf numFmtId="0" fontId="13" fillId="11" borderId="4" xfId="0" applyFont="1" applyFill="1" applyBorder="1" applyAlignment="1">
      <alignment horizontal="center" vertical="center"/>
    </xf>
    <xf numFmtId="0" fontId="14" fillId="12" borderId="4" xfId="0" applyFont="1" applyFill="1" applyBorder="1" applyAlignment="1">
      <alignment horizontal="center" vertical="center"/>
    </xf>
    <xf numFmtId="0" fontId="18" fillId="2" borderId="7" xfId="0" applyFont="1" applyFill="1" applyBorder="1" applyAlignment="1">
      <alignment horizontal="center" vertical="center" wrapText="1"/>
    </xf>
    <xf numFmtId="0" fontId="18" fillId="2" borderId="8" xfId="0" applyFont="1" applyFill="1" applyBorder="1" applyAlignment="1">
      <alignment horizontal="center" vertical="center" wrapText="1"/>
    </xf>
    <xf numFmtId="0" fontId="9" fillId="13" borderId="10" xfId="0" applyFont="1" applyFill="1" applyBorder="1" applyAlignment="1">
      <alignment horizontal="left" vertical="top" wrapText="1"/>
    </xf>
    <xf numFmtId="0" fontId="20" fillId="6" borderId="11" xfId="0" applyFont="1" applyFill="1" applyBorder="1" applyAlignment="1">
      <alignment horizontal="left" vertical="top" wrapText="1"/>
    </xf>
    <xf numFmtId="0" fontId="20" fillId="6" borderId="13" xfId="0" applyFont="1" applyFill="1" applyBorder="1" applyAlignment="1">
      <alignment horizontal="left" vertical="top" wrapText="1"/>
    </xf>
    <xf numFmtId="0" fontId="20" fillId="5" borderId="15" xfId="0" applyFont="1" applyFill="1" applyBorder="1"/>
    <xf numFmtId="0" fontId="9" fillId="6" borderId="10" xfId="0" applyFont="1" applyFill="1" applyBorder="1" applyAlignment="1">
      <alignment horizontal="left" vertical="top" wrapText="1"/>
    </xf>
    <xf numFmtId="164" fontId="19" fillId="14" borderId="15" xfId="0" applyNumberFormat="1" applyFont="1" applyFill="1" applyBorder="1" applyAlignment="1">
      <alignment horizontal="center" vertical="center"/>
    </xf>
    <xf numFmtId="0" fontId="18" fillId="15" borderId="7" xfId="0" applyFont="1" applyFill="1" applyBorder="1" applyAlignment="1">
      <alignment horizontal="center" vertical="center" wrapText="1"/>
    </xf>
    <xf numFmtId="0" fontId="18" fillId="15" borderId="8" xfId="0" applyFont="1" applyFill="1" applyBorder="1" applyAlignment="1">
      <alignment horizontal="center" vertical="center" wrapText="1"/>
    </xf>
    <xf numFmtId="164" fontId="22" fillId="14" borderId="15" xfId="0" applyNumberFormat="1" applyFont="1" applyFill="1" applyBorder="1" applyAlignment="1">
      <alignment horizontal="center" vertical="center"/>
    </xf>
    <xf numFmtId="0" fontId="18" fillId="16" borderId="7" xfId="0" applyFont="1" applyFill="1" applyBorder="1" applyAlignment="1">
      <alignment horizontal="center" vertical="center" wrapText="1"/>
    </xf>
    <xf numFmtId="0" fontId="18" fillId="16" borderId="8" xfId="0" applyFont="1" applyFill="1" applyBorder="1" applyAlignment="1">
      <alignment horizontal="center" vertical="center" wrapText="1"/>
    </xf>
    <xf numFmtId="0" fontId="26" fillId="6" borderId="15" xfId="0" applyFont="1" applyFill="1" applyBorder="1"/>
    <xf numFmtId="164" fontId="25" fillId="14" borderId="15" xfId="0" applyNumberFormat="1" applyFont="1" applyFill="1" applyBorder="1" applyAlignment="1">
      <alignment horizontal="center" vertical="center"/>
    </xf>
    <xf numFmtId="0" fontId="18" fillId="18" borderId="7" xfId="0" applyFont="1" applyFill="1" applyBorder="1" applyAlignment="1">
      <alignment horizontal="center" vertical="center" wrapText="1"/>
    </xf>
    <xf numFmtId="0" fontId="18" fillId="18" borderId="8" xfId="0" applyFont="1" applyFill="1" applyBorder="1" applyAlignment="1">
      <alignment horizontal="center" vertical="center" wrapText="1"/>
    </xf>
    <xf numFmtId="164" fontId="29" fillId="14" borderId="15" xfId="0" applyNumberFormat="1" applyFont="1" applyFill="1" applyBorder="1" applyAlignment="1">
      <alignment horizontal="center" vertical="center"/>
    </xf>
    <xf numFmtId="0" fontId="18" fillId="19" borderId="7" xfId="0" applyFont="1" applyFill="1" applyBorder="1" applyAlignment="1">
      <alignment horizontal="center" vertical="center" wrapText="1"/>
    </xf>
    <xf numFmtId="164" fontId="32" fillId="14" borderId="15" xfId="0" applyNumberFormat="1" applyFont="1" applyFill="1" applyBorder="1" applyAlignment="1">
      <alignment horizontal="center" vertical="center"/>
    </xf>
    <xf numFmtId="0" fontId="18" fillId="21" borderId="7" xfId="0" applyFont="1" applyFill="1" applyBorder="1" applyAlignment="1">
      <alignment horizontal="center" vertical="center" wrapText="1"/>
    </xf>
    <xf numFmtId="164" fontId="35" fillId="14" borderId="15" xfId="0" applyNumberFormat="1" applyFont="1" applyFill="1" applyBorder="1" applyAlignment="1">
      <alignment horizontal="center" vertical="center"/>
    </xf>
    <xf numFmtId="0" fontId="18" fillId="23" borderId="7" xfId="0" applyFont="1" applyFill="1" applyBorder="1" applyAlignment="1">
      <alignment horizontal="center" vertical="center" wrapText="1"/>
    </xf>
    <xf numFmtId="164" fontId="38" fillId="14" borderId="15" xfId="0" applyNumberFormat="1" applyFont="1" applyFill="1" applyBorder="1" applyAlignment="1">
      <alignment horizontal="center" vertical="center"/>
    </xf>
    <xf numFmtId="0" fontId="18" fillId="25" borderId="7" xfId="0" applyFont="1" applyFill="1" applyBorder="1" applyAlignment="1">
      <alignment horizontal="center" vertical="center" wrapText="1"/>
    </xf>
    <xf numFmtId="164" fontId="41" fillId="14" borderId="15" xfId="0" applyNumberFormat="1" applyFont="1" applyFill="1" applyBorder="1" applyAlignment="1">
      <alignment horizontal="center" vertical="center"/>
    </xf>
    <xf numFmtId="0" fontId="5" fillId="4" borderId="16" xfId="0" applyFont="1" applyFill="1" applyBorder="1" applyAlignment="1">
      <alignment horizontal="left" vertical="center" wrapText="1"/>
    </xf>
    <xf numFmtId="164" fontId="19" fillId="14" borderId="16" xfId="0" applyNumberFormat="1" applyFont="1" applyFill="1" applyBorder="1" applyAlignment="1">
      <alignment horizontal="center" vertical="center"/>
    </xf>
    <xf numFmtId="0" fontId="43" fillId="5" borderId="16" xfId="0" applyFont="1" applyFill="1" applyBorder="1" applyAlignment="1">
      <alignment horizontal="center" vertical="center"/>
    </xf>
    <xf numFmtId="0" fontId="20" fillId="6" borderId="16" xfId="0" applyFont="1" applyFill="1" applyBorder="1" applyAlignment="1">
      <alignment horizontal="left" vertical="top" wrapText="1"/>
    </xf>
    <xf numFmtId="0" fontId="20" fillId="6" borderId="16" xfId="0" applyFont="1" applyFill="1" applyBorder="1" applyAlignment="1">
      <alignment horizontal="center" vertical="center"/>
    </xf>
    <xf numFmtId="0" fontId="14" fillId="10" borderId="16" xfId="0" applyFont="1" applyFill="1" applyBorder="1" applyAlignment="1">
      <alignment horizontal="left" vertical="center" wrapText="1"/>
    </xf>
    <xf numFmtId="164" fontId="22" fillId="14" borderId="16" xfId="0" applyNumberFormat="1" applyFont="1" applyFill="1" applyBorder="1" applyAlignment="1">
      <alignment horizontal="center" vertical="center"/>
    </xf>
    <xf numFmtId="0" fontId="24" fillId="17" borderId="16" xfId="0" applyFont="1" applyFill="1" applyBorder="1" applyAlignment="1">
      <alignment horizontal="left" vertical="center" wrapText="1"/>
    </xf>
    <xf numFmtId="164" fontId="25" fillId="14" borderId="16" xfId="0" applyNumberFormat="1" applyFont="1" applyFill="1" applyBorder="1" applyAlignment="1">
      <alignment horizontal="center" vertical="center"/>
    </xf>
    <xf numFmtId="0" fontId="28" fillId="8" borderId="16" xfId="0" applyFont="1" applyFill="1" applyBorder="1" applyAlignment="1">
      <alignment horizontal="left" vertical="center" wrapText="1"/>
    </xf>
    <xf numFmtId="164" fontId="29" fillId="14" borderId="16" xfId="0" applyNumberFormat="1" applyFont="1" applyFill="1" applyBorder="1" applyAlignment="1">
      <alignment horizontal="center" vertical="center"/>
    </xf>
    <xf numFmtId="0" fontId="31" fillId="20" borderId="16" xfId="0" applyFont="1" applyFill="1" applyBorder="1" applyAlignment="1">
      <alignment horizontal="left" vertical="center" wrapText="1"/>
    </xf>
    <xf numFmtId="164" fontId="32" fillId="14" borderId="16" xfId="0" applyNumberFormat="1" applyFont="1" applyFill="1" applyBorder="1" applyAlignment="1">
      <alignment horizontal="center" vertical="center"/>
    </xf>
    <xf numFmtId="0" fontId="34" fillId="22" borderId="16" xfId="0" applyFont="1" applyFill="1" applyBorder="1" applyAlignment="1">
      <alignment horizontal="left" vertical="center" wrapText="1"/>
    </xf>
    <xf numFmtId="164" fontId="35" fillId="14" borderId="16" xfId="0" applyNumberFormat="1" applyFont="1" applyFill="1" applyBorder="1" applyAlignment="1">
      <alignment horizontal="center" vertical="center"/>
    </xf>
    <xf numFmtId="0" fontId="37" fillId="24" borderId="16" xfId="0" applyFont="1" applyFill="1" applyBorder="1" applyAlignment="1">
      <alignment horizontal="left" vertical="center" wrapText="1"/>
    </xf>
    <xf numFmtId="164" fontId="38" fillId="14" borderId="16" xfId="0" applyNumberFormat="1" applyFont="1" applyFill="1" applyBorder="1" applyAlignment="1">
      <alignment horizontal="center" vertical="center"/>
    </xf>
    <xf numFmtId="0" fontId="40" fillId="26" borderId="16" xfId="0" applyFont="1" applyFill="1" applyBorder="1" applyAlignment="1">
      <alignment horizontal="left" vertical="center" wrapText="1"/>
    </xf>
    <xf numFmtId="164" fontId="41" fillId="14" borderId="16" xfId="0" applyNumberFormat="1" applyFont="1" applyFill="1" applyBorder="1" applyAlignment="1">
      <alignment horizontal="center" vertical="center"/>
    </xf>
    <xf numFmtId="164" fontId="45" fillId="14" borderId="15" xfId="0" applyNumberFormat="1" applyFont="1" applyFill="1" applyBorder="1" applyAlignment="1">
      <alignment horizontal="center" vertical="center"/>
    </xf>
    <xf numFmtId="0" fontId="20" fillId="6" borderId="10" xfId="0" applyFont="1" applyFill="1" applyBorder="1" applyAlignment="1">
      <alignment horizontal="left" vertical="center" wrapText="1"/>
    </xf>
    <xf numFmtId="0" fontId="20" fillId="13" borderId="10" xfId="0" applyFont="1" applyFill="1" applyBorder="1" applyAlignment="1">
      <alignment horizontal="left" vertical="center" wrapText="1"/>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3"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6" fillId="6" borderId="5" xfId="0" applyFont="1" applyFill="1" applyBorder="1" applyAlignment="1">
      <alignment horizontal="left" vertical="center"/>
    </xf>
    <xf numFmtId="0" fontId="2" fillId="0" borderId="6" xfId="0" applyFont="1" applyBorder="1"/>
    <xf numFmtId="0" fontId="9" fillId="12" borderId="5" xfId="0" applyFont="1" applyFill="1" applyBorder="1" applyAlignment="1">
      <alignment horizontal="left" vertical="center" wrapText="1"/>
    </xf>
    <xf numFmtId="0" fontId="7" fillId="3" borderId="1" xfId="0" applyFont="1" applyFill="1" applyBorder="1" applyAlignment="1">
      <alignment horizontal="center" vertical="center"/>
    </xf>
    <xf numFmtId="0" fontId="6" fillId="6"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7" fillId="2" borderId="1" xfId="0" applyFont="1" applyFill="1" applyBorder="1" applyAlignment="1">
      <alignment horizontal="center" vertical="center"/>
    </xf>
    <xf numFmtId="0" fontId="9" fillId="7" borderId="5" xfId="0" applyFont="1" applyFill="1" applyBorder="1" applyAlignment="1">
      <alignment horizontal="left" vertical="center" wrapText="1"/>
    </xf>
    <xf numFmtId="0" fontId="9" fillId="8" borderId="5" xfId="0" applyFont="1" applyFill="1" applyBorder="1" applyAlignment="1">
      <alignment horizontal="left" vertical="center" wrapText="1"/>
    </xf>
    <xf numFmtId="0" fontId="9" fillId="9" borderId="5" xfId="0" applyFont="1" applyFill="1" applyBorder="1" applyAlignment="1">
      <alignment horizontal="left" vertical="center" wrapText="1"/>
    </xf>
    <xf numFmtId="0" fontId="9" fillId="10" borderId="5" xfId="0" applyFont="1" applyFill="1" applyBorder="1" applyAlignment="1">
      <alignment horizontal="left" vertical="center" wrapText="1"/>
    </xf>
    <xf numFmtId="0" fontId="9" fillId="11" borderId="5" xfId="0" applyFont="1" applyFill="1" applyBorder="1" applyAlignment="1">
      <alignment horizontal="left" vertical="center" wrapText="1"/>
    </xf>
    <xf numFmtId="0" fontId="15" fillId="2" borderId="1" xfId="0" applyFont="1" applyFill="1" applyBorder="1" applyAlignment="1">
      <alignment horizontal="left" vertical="center"/>
    </xf>
    <xf numFmtId="0" fontId="16" fillId="4" borderId="1" xfId="0" applyFont="1" applyFill="1" applyBorder="1" applyAlignment="1">
      <alignment horizontal="left" vertical="center" wrapText="1"/>
    </xf>
    <xf numFmtId="0" fontId="17" fillId="5" borderId="1" xfId="0" applyFont="1" applyFill="1" applyBorder="1" applyAlignment="1">
      <alignment horizontal="center" vertical="center"/>
    </xf>
    <xf numFmtId="0" fontId="5" fillId="4" borderId="9" xfId="0" applyFont="1" applyFill="1" applyBorder="1" applyAlignment="1">
      <alignment horizontal="left" vertical="center" wrapText="1"/>
    </xf>
    <xf numFmtId="0" fontId="2" fillId="0" borderId="12" xfId="0" applyFont="1" applyBorder="1"/>
    <xf numFmtId="0" fontId="2" fillId="0" borderId="14" xfId="0" applyFont="1" applyBorder="1"/>
    <xf numFmtId="0" fontId="17" fillId="13" borderId="9" xfId="0" applyFont="1" applyFill="1" applyBorder="1" applyAlignment="1">
      <alignment horizontal="left" vertical="top" wrapText="1"/>
    </xf>
    <xf numFmtId="0" fontId="19" fillId="14" borderId="9" xfId="0" applyFont="1" applyFill="1" applyBorder="1" applyAlignment="1">
      <alignment horizontal="center" vertical="center"/>
    </xf>
    <xf numFmtId="0" fontId="20" fillId="6" borderId="9" xfId="0" applyFont="1" applyFill="1" applyBorder="1" applyAlignment="1">
      <alignment horizontal="left" vertical="top" wrapText="1"/>
    </xf>
    <xf numFmtId="0" fontId="18" fillId="2" borderId="1" xfId="0" applyFont="1" applyFill="1" applyBorder="1" applyAlignment="1">
      <alignment horizontal="right" vertical="center"/>
    </xf>
    <xf numFmtId="0" fontId="17" fillId="6" borderId="9" xfId="0" applyFont="1" applyFill="1" applyBorder="1" applyAlignment="1">
      <alignment horizontal="left" vertical="top" wrapText="1"/>
    </xf>
    <xf numFmtId="0" fontId="15" fillId="15" borderId="1" xfId="0" applyFont="1" applyFill="1" applyBorder="1" applyAlignment="1">
      <alignment horizontal="left" vertical="center"/>
    </xf>
    <xf numFmtId="0" fontId="21" fillId="10" borderId="1" xfId="0" applyFont="1" applyFill="1" applyBorder="1" applyAlignment="1">
      <alignment horizontal="left" vertical="center" wrapText="1"/>
    </xf>
    <xf numFmtId="0" fontId="14" fillId="10" borderId="9" xfId="0" applyFont="1" applyFill="1" applyBorder="1" applyAlignment="1">
      <alignment horizontal="left" vertical="center" wrapText="1"/>
    </xf>
    <xf numFmtId="0" fontId="22" fillId="14" borderId="9" xfId="0" applyFont="1" applyFill="1" applyBorder="1" applyAlignment="1">
      <alignment horizontal="center" vertical="center"/>
    </xf>
    <xf numFmtId="0" fontId="18" fillId="15" borderId="1" xfId="0" applyFont="1" applyFill="1" applyBorder="1" applyAlignment="1">
      <alignment horizontal="right" vertical="center"/>
    </xf>
    <xf numFmtId="0" fontId="15" fillId="16" borderId="1" xfId="0" applyFont="1" applyFill="1" applyBorder="1" applyAlignment="1">
      <alignment horizontal="left" vertical="center"/>
    </xf>
    <xf numFmtId="0" fontId="23" fillId="17" borderId="1" xfId="0" applyFont="1" applyFill="1" applyBorder="1" applyAlignment="1">
      <alignment horizontal="left" vertical="center" wrapText="1"/>
    </xf>
    <xf numFmtId="0" fontId="24" fillId="17" borderId="9" xfId="0" applyFont="1" applyFill="1" applyBorder="1" applyAlignment="1">
      <alignment horizontal="left" vertical="center" wrapText="1"/>
    </xf>
    <xf numFmtId="0" fontId="25" fillId="14" borderId="9" xfId="0" applyFont="1" applyFill="1" applyBorder="1" applyAlignment="1">
      <alignment horizontal="center" vertical="center"/>
    </xf>
    <xf numFmtId="0" fontId="18" fillId="16" borderId="1" xfId="0" applyFont="1" applyFill="1" applyBorder="1" applyAlignment="1">
      <alignment horizontal="right" vertical="center"/>
    </xf>
    <xf numFmtId="0" fontId="15" fillId="18" borderId="1" xfId="0" applyFont="1" applyFill="1" applyBorder="1" applyAlignment="1">
      <alignment horizontal="left" vertical="center"/>
    </xf>
    <xf numFmtId="0" fontId="27" fillId="8" borderId="1" xfId="0" applyFont="1" applyFill="1" applyBorder="1" applyAlignment="1">
      <alignment horizontal="left" vertical="center" wrapText="1"/>
    </xf>
    <xf numFmtId="0" fontId="28" fillId="8" borderId="9" xfId="0" applyFont="1" applyFill="1" applyBorder="1" applyAlignment="1">
      <alignment horizontal="left" vertical="center" wrapText="1"/>
    </xf>
    <xf numFmtId="0" fontId="29" fillId="14" borderId="9" xfId="0" applyFont="1" applyFill="1" applyBorder="1" applyAlignment="1">
      <alignment horizontal="center" vertical="center"/>
    </xf>
    <xf numFmtId="0" fontId="18" fillId="18" borderId="1" xfId="0" applyFont="1" applyFill="1" applyBorder="1" applyAlignment="1">
      <alignment horizontal="right" vertical="center"/>
    </xf>
    <xf numFmtId="0" fontId="15" fillId="19" borderId="1" xfId="0" applyFont="1" applyFill="1" applyBorder="1" applyAlignment="1">
      <alignment horizontal="left" vertical="center"/>
    </xf>
    <xf numFmtId="0" fontId="30" fillId="20" borderId="1" xfId="0" applyFont="1" applyFill="1" applyBorder="1" applyAlignment="1">
      <alignment horizontal="left" vertical="center" wrapText="1"/>
    </xf>
    <xf numFmtId="0" fontId="32" fillId="14" borderId="9" xfId="0" applyFont="1" applyFill="1" applyBorder="1" applyAlignment="1">
      <alignment horizontal="center" vertical="center"/>
    </xf>
    <xf numFmtId="0" fontId="31" fillId="20" borderId="9" xfId="0" applyFont="1" applyFill="1" applyBorder="1" applyAlignment="1">
      <alignment horizontal="left" vertical="center" wrapText="1"/>
    </xf>
    <xf numFmtId="0" fontId="18" fillId="19" borderId="1" xfId="0" applyFont="1" applyFill="1" applyBorder="1" applyAlignment="1">
      <alignment horizontal="right" vertical="center"/>
    </xf>
    <xf numFmtId="0" fontId="15" fillId="21" borderId="1" xfId="0" applyFont="1" applyFill="1" applyBorder="1" applyAlignment="1">
      <alignment horizontal="left" vertical="center"/>
    </xf>
    <xf numFmtId="0" fontId="33" fillId="22" borderId="1" xfId="0" applyFont="1" applyFill="1" applyBorder="1" applyAlignment="1">
      <alignment horizontal="left" vertical="center" wrapText="1"/>
    </xf>
    <xf numFmtId="0" fontId="35" fillId="14" borderId="9" xfId="0" applyFont="1" applyFill="1" applyBorder="1" applyAlignment="1">
      <alignment horizontal="center" vertical="center"/>
    </xf>
    <xf numFmtId="0" fontId="34" fillId="22" borderId="9" xfId="0" applyFont="1" applyFill="1" applyBorder="1" applyAlignment="1">
      <alignment horizontal="left" vertical="center" wrapText="1"/>
    </xf>
    <xf numFmtId="0" fontId="18" fillId="21" borderId="1" xfId="0" applyFont="1" applyFill="1" applyBorder="1" applyAlignment="1">
      <alignment horizontal="right" vertical="center"/>
    </xf>
    <xf numFmtId="0" fontId="15" fillId="23" borderId="1" xfId="0" applyFont="1" applyFill="1" applyBorder="1" applyAlignment="1">
      <alignment horizontal="left" vertical="center"/>
    </xf>
    <xf numFmtId="0" fontId="36" fillId="24" borderId="1" xfId="0" applyFont="1" applyFill="1" applyBorder="1" applyAlignment="1">
      <alignment horizontal="left" vertical="center" wrapText="1"/>
    </xf>
    <xf numFmtId="0" fontId="38" fillId="14" borderId="9" xfId="0" applyFont="1" applyFill="1" applyBorder="1" applyAlignment="1">
      <alignment horizontal="center" vertical="center"/>
    </xf>
    <xf numFmtId="0" fontId="18" fillId="23" borderId="1" xfId="0" applyFont="1" applyFill="1" applyBorder="1" applyAlignment="1">
      <alignment horizontal="right" vertical="center"/>
    </xf>
    <xf numFmtId="0" fontId="37" fillId="24" borderId="9" xfId="0" applyFont="1" applyFill="1" applyBorder="1" applyAlignment="1">
      <alignment horizontal="left" vertical="center" wrapText="1"/>
    </xf>
    <xf numFmtId="0" fontId="15" fillId="25" borderId="1" xfId="0" applyFont="1" applyFill="1" applyBorder="1" applyAlignment="1">
      <alignment horizontal="left" vertical="center"/>
    </xf>
    <xf numFmtId="0" fontId="39" fillId="26" borderId="1" xfId="0" applyFont="1" applyFill="1" applyBorder="1" applyAlignment="1">
      <alignment horizontal="left" vertical="center" wrapText="1"/>
    </xf>
    <xf numFmtId="0" fontId="41" fillId="14" borderId="9" xfId="0" applyFont="1" applyFill="1" applyBorder="1" applyAlignment="1">
      <alignment horizontal="center" vertical="center"/>
    </xf>
    <xf numFmtId="0" fontId="18" fillId="25" borderId="1" xfId="0" applyFont="1" applyFill="1" applyBorder="1" applyAlignment="1">
      <alignment horizontal="right" vertical="center"/>
    </xf>
    <xf numFmtId="0" fontId="40" fillId="26" borderId="9" xfId="0" applyFont="1" applyFill="1" applyBorder="1" applyAlignment="1">
      <alignment horizontal="left" vertical="center" wrapText="1"/>
    </xf>
    <xf numFmtId="0" fontId="42" fillId="2" borderId="1" xfId="0" applyFont="1" applyFill="1" applyBorder="1" applyAlignment="1">
      <alignment horizontal="center" vertical="center"/>
    </xf>
    <xf numFmtId="0" fontId="16" fillId="4" borderId="1" xfId="0" applyFont="1" applyFill="1" applyBorder="1" applyAlignment="1">
      <alignment horizontal="center" vertical="center"/>
    </xf>
    <xf numFmtId="0" fontId="44" fillId="2" borderId="1" xfId="0" applyFont="1" applyFill="1" applyBorder="1" applyAlignment="1">
      <alignment horizontal="right" vertical="center"/>
    </xf>
    <xf numFmtId="0" fontId="15" fillId="2" borderId="1" xfId="0" applyFont="1" applyFill="1" applyBorder="1" applyAlignment="1">
      <alignment horizontal="center" vertical="center"/>
    </xf>
    <xf numFmtId="0" fontId="46" fillId="6" borderId="5" xfId="0" applyFont="1" applyFill="1" applyBorder="1" applyAlignment="1">
      <alignment horizontal="left" vertical="center"/>
    </xf>
    <xf numFmtId="14" fontId="6" fillId="6" borderId="5" xfId="0" applyNumberFormat="1"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800" b="1" i="0">
                <a:solidFill>
                  <a:srgbClr val="000000"/>
                </a:solidFill>
                <a:latin typeface="Calibri"/>
              </a:defRPr>
            </a:pPr>
            <a:r>
              <a:rPr lang="es-EC" sz="1800" b="1" i="0">
                <a:solidFill>
                  <a:srgbClr val="000000"/>
                </a:solidFill>
                <a:latin typeface="Calibri"/>
              </a:rPr>
              <a:t>Perfil de madurez DCAM</a:t>
            </a:r>
          </a:p>
        </c:rich>
      </c:tx>
      <c:overlay val="0"/>
    </c:title>
    <c:autoTitleDeleted val="0"/>
    <c:plotArea>
      <c:layout/>
      <c:radarChart>
        <c:radarStyle val="marker"/>
        <c:varyColors val="1"/>
        <c:ser>
          <c:idx val="0"/>
          <c:order val="0"/>
          <c:spPr>
            <a:ln cmpd="sng">
              <a:solidFill>
                <a:srgbClr val="4F81BD"/>
              </a:solidFill>
            </a:ln>
          </c:spPr>
          <c:marker>
            <c:symbol val="none"/>
          </c:marker>
          <c:cat>
            <c:strRef>
              <c:f>'Diagnóstico y Radar'!$B$5:$B$12</c:f>
              <c:strCache>
                <c:ptCount val="8"/>
                <c:pt idx="0">
                  <c:v>C1 · Estrategia de gestión de datos</c:v>
                </c:pt>
                <c:pt idx="1">
                  <c:v>C2 · Programa y financiamiento</c:v>
                </c:pt>
                <c:pt idx="2">
                  <c:v>C3 · Gobernanza de datos</c:v>
                </c:pt>
                <c:pt idx="3">
                  <c:v>C4 · Arquitectura de datos</c:v>
                </c:pt>
                <c:pt idx="4">
                  <c:v>C5 · Calidad de datos</c:v>
                </c:pt>
                <c:pt idx="5">
                  <c:v>C6 · Control y riesgo de datos</c:v>
                </c:pt>
                <c:pt idx="6">
                  <c:v>C7 · Metadatos</c:v>
                </c:pt>
                <c:pt idx="7">
                  <c:v>C8 · Analítica e inteligencia de datos</c:v>
                </c:pt>
              </c:strCache>
            </c:strRef>
          </c:cat>
          <c:val>
            <c:numRef>
              <c:f>'Diagnóstico y Radar'!$C$5:$C$12</c:f>
              <c:numCache>
                <c:formatCode>0.0</c:formatCode>
                <c:ptCount val="8"/>
                <c:pt idx="0">
                  <c:v>4.333333333333333</c:v>
                </c:pt>
                <c:pt idx="1">
                  <c:v>2.3333333333333335</c:v>
                </c:pt>
                <c:pt idx="2">
                  <c:v>1.75</c:v>
                </c:pt>
                <c:pt idx="3">
                  <c:v>2</c:v>
                </c:pt>
                <c:pt idx="4">
                  <c:v>2</c:v>
                </c:pt>
                <c:pt idx="5">
                  <c:v>1.25</c:v>
                </c:pt>
                <c:pt idx="6">
                  <c:v>1</c:v>
                </c:pt>
                <c:pt idx="7">
                  <c:v>3</c:v>
                </c:pt>
              </c:numCache>
            </c:numRef>
          </c:val>
          <c:extLst>
            <c:ext xmlns:c16="http://schemas.microsoft.com/office/drawing/2014/chart" uri="{C3380CC4-5D6E-409C-BE32-E72D297353CC}">
              <c16:uniqueId val="{00000000-F1BE-904B-8BCE-AFDA694DFF84}"/>
            </c:ext>
          </c:extLst>
        </c:ser>
        <c:dLbls>
          <c:showLegendKey val="0"/>
          <c:showVal val="0"/>
          <c:showCatName val="0"/>
          <c:showSerName val="0"/>
          <c:showPercent val="0"/>
          <c:showBubbleSize val="0"/>
        </c:dLbls>
        <c:axId val="1346211171"/>
        <c:axId val="357328109"/>
      </c:radarChart>
      <c:catAx>
        <c:axId val="1346211171"/>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s-EC"/>
          </a:p>
        </c:txPr>
        <c:crossAx val="357328109"/>
        <c:crosses val="autoZero"/>
        <c:auto val="1"/>
        <c:lblAlgn val="ctr"/>
        <c:lblOffset val="100"/>
        <c:noMultiLvlLbl val="1"/>
      </c:catAx>
      <c:valAx>
        <c:axId val="3573281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EC"/>
              </a:p>
            </c:rich>
          </c:tx>
          <c:overlay val="0"/>
        </c:title>
        <c:numFmt formatCode="0.0" sourceLinked="1"/>
        <c:majorTickMark val="none"/>
        <c:minorTickMark val="none"/>
        <c:tickLblPos val="nextTo"/>
        <c:spPr>
          <a:ln>
            <a:noFill/>
          </a:ln>
        </c:spPr>
        <c:txPr>
          <a:bodyPr/>
          <a:lstStyle/>
          <a:p>
            <a:pPr lvl="0">
              <a:defRPr b="0">
                <a:solidFill>
                  <a:srgbClr val="000000"/>
                </a:solidFill>
                <a:latin typeface="+mn-lt"/>
              </a:defRPr>
            </a:pPr>
            <a:endParaRPr lang="es-EC"/>
          </a:p>
        </c:txPr>
        <c:crossAx val="1346211171"/>
        <c:crosses val="autoZero"/>
        <c:crossBetween val="between"/>
      </c:valAx>
    </c:plotArea>
    <c:legend>
      <c:legendPos val="r"/>
      <c:overlay val="0"/>
      <c:txPr>
        <a:bodyPr/>
        <a:lstStyle/>
        <a:p>
          <a:pPr lvl="0">
            <a:defRPr sz="1000" b="0" i="0">
              <a:solidFill>
                <a:srgbClr val="000000"/>
              </a:solidFill>
              <a:latin typeface="Calibri"/>
            </a:defRPr>
          </a:pPr>
          <a:endParaRPr lang="es-EC"/>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0</xdr:colOff>
      <xdr:row>16</xdr:row>
      <xdr:rowOff>0</xdr:rowOff>
    </xdr:from>
    <xdr:ext cx="6219825" cy="5286375"/>
    <xdr:graphicFrame macro="">
      <xdr:nvGraphicFramePr>
        <xdr:cNvPr id="2101236215" name="Chart 1">
          <a:extLst>
            <a:ext uri="{FF2B5EF4-FFF2-40B4-BE49-F238E27FC236}">
              <a16:creationId xmlns:a16="http://schemas.microsoft.com/office/drawing/2014/main" id="{00000000-0008-0000-0900-0000F7513E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1000"/>
  <sheetViews>
    <sheetView showGridLines="0" workbookViewId="0">
      <selection activeCell="C17" sqref="C17:D17"/>
    </sheetView>
  </sheetViews>
  <sheetFormatPr baseColWidth="10" defaultColWidth="14.5" defaultRowHeight="15" customHeight="1"/>
  <cols>
    <col min="1" max="1" width="3" customWidth="1"/>
    <col min="2" max="3" width="20" customWidth="1"/>
    <col min="4" max="4" width="45" customWidth="1"/>
    <col min="5" max="5" width="3" customWidth="1"/>
    <col min="6" max="26" width="8.6640625" customWidth="1"/>
  </cols>
  <sheetData>
    <row r="1" spans="2:4" ht="9.75" customHeight="1"/>
    <row r="2" spans="2:4" ht="36" customHeight="1">
      <c r="B2" s="56" t="s">
        <v>0</v>
      </c>
      <c r="C2" s="57"/>
      <c r="D2" s="58"/>
    </row>
    <row r="3" spans="2:4" ht="24" customHeight="1">
      <c r="B3" s="59" t="s">
        <v>1</v>
      </c>
      <c r="C3" s="57"/>
      <c r="D3" s="58"/>
    </row>
    <row r="4" spans="2:4" ht="19.5" customHeight="1">
      <c r="B4" s="60" t="s">
        <v>2</v>
      </c>
      <c r="C4" s="57"/>
      <c r="D4" s="58"/>
    </row>
    <row r="5" spans="2:4" ht="15.75" customHeight="1"/>
    <row r="7" spans="2:4" ht="19.5" customHeight="1">
      <c r="B7" s="1" t="s">
        <v>3</v>
      </c>
      <c r="C7" s="123" t="s">
        <v>256</v>
      </c>
      <c r="D7" s="62"/>
    </row>
    <row r="8" spans="2:4" ht="19.5" customHeight="1">
      <c r="B8" s="1" t="s">
        <v>4</v>
      </c>
      <c r="C8" s="123" t="s">
        <v>257</v>
      </c>
      <c r="D8" s="62"/>
    </row>
    <row r="9" spans="2:4" ht="19.5" customHeight="1">
      <c r="B9" s="1" t="s">
        <v>5</v>
      </c>
      <c r="C9" s="124">
        <v>46191</v>
      </c>
      <c r="D9" s="62"/>
    </row>
    <row r="10" spans="2:4" ht="19.5" customHeight="1">
      <c r="B10" s="1" t="s">
        <v>6</v>
      </c>
      <c r="C10" s="124">
        <v>46224</v>
      </c>
      <c r="D10" s="62"/>
    </row>
    <row r="11" spans="2:4" ht="19.5" customHeight="1">
      <c r="B11" s="1" t="s">
        <v>7</v>
      </c>
      <c r="C11" s="61" t="s">
        <v>8</v>
      </c>
      <c r="D11" s="62"/>
    </row>
    <row r="14" spans="2:4" ht="21.75" customHeight="1">
      <c r="B14" s="67" t="s">
        <v>9</v>
      </c>
      <c r="C14" s="57"/>
      <c r="D14" s="58"/>
    </row>
    <row r="15" spans="2:4" ht="31.5" customHeight="1">
      <c r="B15" s="2" t="s">
        <v>10</v>
      </c>
      <c r="C15" s="68" t="s">
        <v>11</v>
      </c>
      <c r="D15" s="62"/>
    </row>
    <row r="16" spans="2:4" ht="31.5" customHeight="1">
      <c r="B16" s="3" t="s">
        <v>12</v>
      </c>
      <c r="C16" s="69" t="s">
        <v>13</v>
      </c>
      <c r="D16" s="62"/>
    </row>
    <row r="17" spans="2:4" ht="31.5" customHeight="1">
      <c r="B17" s="4" t="s">
        <v>14</v>
      </c>
      <c r="C17" s="70" t="s">
        <v>15</v>
      </c>
      <c r="D17" s="62"/>
    </row>
    <row r="18" spans="2:4" ht="31.5" customHeight="1">
      <c r="B18" s="5" t="s">
        <v>16</v>
      </c>
      <c r="C18" s="71" t="s">
        <v>17</v>
      </c>
      <c r="D18" s="62"/>
    </row>
    <row r="19" spans="2:4" ht="31.5" customHeight="1">
      <c r="B19" s="6" t="s">
        <v>18</v>
      </c>
      <c r="C19" s="72" t="s">
        <v>19</v>
      </c>
      <c r="D19" s="62"/>
    </row>
    <row r="20" spans="2:4" ht="31.5" customHeight="1">
      <c r="B20" s="7" t="s">
        <v>20</v>
      </c>
      <c r="C20" s="63" t="s">
        <v>21</v>
      </c>
      <c r="D20" s="62"/>
    </row>
    <row r="21" spans="2:4" ht="15.75" customHeight="1"/>
    <row r="22" spans="2:4" ht="21.75" customHeight="1">
      <c r="B22" s="64" t="s">
        <v>22</v>
      </c>
      <c r="C22" s="57"/>
      <c r="D22" s="58"/>
    </row>
    <row r="23" spans="2:4">
      <c r="B23" s="65" t="s">
        <v>23</v>
      </c>
      <c r="C23" s="57"/>
      <c r="D23" s="58"/>
    </row>
    <row r="24" spans="2:4" ht="19.5" customHeight="1">
      <c r="B24" s="66" t="s">
        <v>24</v>
      </c>
      <c r="C24" s="57"/>
      <c r="D24" s="58"/>
    </row>
    <row r="25" spans="2:4" ht="19.5" customHeight="1">
      <c r="B25" s="65" t="s">
        <v>25</v>
      </c>
      <c r="C25" s="57"/>
      <c r="D25" s="58"/>
    </row>
    <row r="26" spans="2:4" ht="19.5" customHeight="1">
      <c r="B26" s="66" t="s">
        <v>26</v>
      </c>
      <c r="C26" s="57"/>
      <c r="D26" s="58"/>
    </row>
    <row r="27" spans="2:4" ht="19.5" customHeight="1">
      <c r="B27" s="65" t="s">
        <v>27</v>
      </c>
      <c r="C27" s="57"/>
      <c r="D27" s="58"/>
    </row>
    <row r="28" spans="2:4" ht="15.75" customHeight="1"/>
    <row r="29" spans="2:4" ht="15.75" customHeight="1"/>
    <row r="30" spans="2:4" ht="15.75" customHeight="1"/>
    <row r="31" spans="2:4" ht="15.75" customHeight="1"/>
    <row r="32" spans="2: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B24:D24"/>
    <mergeCell ref="B25:D25"/>
    <mergeCell ref="B26:D26"/>
    <mergeCell ref="B27:D27"/>
    <mergeCell ref="C11:D11"/>
    <mergeCell ref="B14:D14"/>
    <mergeCell ref="C15:D15"/>
    <mergeCell ref="C16:D16"/>
    <mergeCell ref="C17:D17"/>
    <mergeCell ref="C18:D18"/>
    <mergeCell ref="C19:D19"/>
    <mergeCell ref="C9:D9"/>
    <mergeCell ref="C10:D10"/>
    <mergeCell ref="C20:D20"/>
    <mergeCell ref="B22:D22"/>
    <mergeCell ref="B23:D23"/>
    <mergeCell ref="B2:D2"/>
    <mergeCell ref="B3:D3"/>
    <mergeCell ref="B4:D4"/>
    <mergeCell ref="C7:D7"/>
    <mergeCell ref="C8:D8"/>
  </mergeCells>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1000"/>
  <sheetViews>
    <sheetView showGridLines="0" workbookViewId="0"/>
  </sheetViews>
  <sheetFormatPr baseColWidth="10" defaultColWidth="14.5" defaultRowHeight="15" customHeight="1"/>
  <cols>
    <col min="1" max="1" width="3" customWidth="1"/>
    <col min="2" max="2" width="28" customWidth="1"/>
    <col min="3" max="3" width="36" customWidth="1"/>
    <col min="4" max="4" width="10" customWidth="1"/>
    <col min="5" max="5" width="34" customWidth="1"/>
    <col min="6" max="6" width="49.5" customWidth="1"/>
    <col min="7" max="7" width="18" customWidth="1"/>
    <col min="8" max="26" width="8.6640625" customWidth="1"/>
  </cols>
  <sheetData>
    <row r="1" spans="2:7" ht="27.75" customHeight="1">
      <c r="B1" s="73" t="s">
        <v>28</v>
      </c>
      <c r="C1" s="57"/>
      <c r="D1" s="57"/>
      <c r="E1" s="57"/>
      <c r="F1" s="57"/>
      <c r="G1" s="58"/>
    </row>
    <row r="2" spans="2:7" ht="21.75" customHeight="1">
      <c r="B2" s="74" t="s">
        <v>29</v>
      </c>
      <c r="C2" s="57"/>
      <c r="D2" s="57"/>
      <c r="E2" s="57"/>
      <c r="F2" s="57"/>
      <c r="G2" s="58"/>
    </row>
    <row r="3" spans="2:7" ht="15.75" customHeight="1">
      <c r="B3" s="75" t="s">
        <v>30</v>
      </c>
      <c r="C3" s="57"/>
      <c r="D3" s="57"/>
      <c r="E3" s="57"/>
      <c r="F3" s="57"/>
      <c r="G3" s="58"/>
    </row>
    <row r="4" spans="2:7" ht="31.5" customHeight="1">
      <c r="B4" s="8" t="s">
        <v>31</v>
      </c>
      <c r="C4" s="8" t="s">
        <v>32</v>
      </c>
      <c r="D4" s="8" t="s">
        <v>33</v>
      </c>
      <c r="E4" s="8" t="s">
        <v>34</v>
      </c>
      <c r="F4" s="9" t="s">
        <v>35</v>
      </c>
      <c r="G4" s="8" t="s">
        <v>36</v>
      </c>
    </row>
    <row r="5" spans="2:7" ht="128">
      <c r="B5" s="76" t="s">
        <v>37</v>
      </c>
      <c r="C5" s="79" t="s">
        <v>38</v>
      </c>
      <c r="D5" s="80">
        <v>4</v>
      </c>
      <c r="E5" s="10" t="s">
        <v>39</v>
      </c>
      <c r="F5" s="11" t="s">
        <v>40</v>
      </c>
      <c r="G5" s="81"/>
    </row>
    <row r="6" spans="2:7" ht="112">
      <c r="B6" s="77"/>
      <c r="C6" s="77"/>
      <c r="D6" s="77"/>
      <c r="E6" s="10" t="s">
        <v>41</v>
      </c>
      <c r="F6" s="12" t="s">
        <v>42</v>
      </c>
      <c r="G6" s="77"/>
    </row>
    <row r="7" spans="2:7" ht="96">
      <c r="B7" s="78"/>
      <c r="C7" s="78"/>
      <c r="D7" s="78"/>
      <c r="E7" s="10" t="s">
        <v>43</v>
      </c>
      <c r="F7" s="12" t="s">
        <v>44</v>
      </c>
      <c r="G7" s="78"/>
    </row>
    <row r="8" spans="2:7" ht="6" customHeight="1">
      <c r="B8" s="13"/>
      <c r="C8" s="13"/>
      <c r="D8" s="13"/>
      <c r="E8" s="13"/>
      <c r="F8" s="13"/>
      <c r="G8" s="13"/>
    </row>
    <row r="9" spans="2:7" ht="208">
      <c r="B9" s="76" t="s">
        <v>45</v>
      </c>
      <c r="C9" s="83" t="s">
        <v>46</v>
      </c>
      <c r="D9" s="80">
        <v>4</v>
      </c>
      <c r="E9" s="14" t="s">
        <v>47</v>
      </c>
      <c r="F9" s="11" t="s">
        <v>48</v>
      </c>
      <c r="G9" s="81"/>
    </row>
    <row r="10" spans="2:7" ht="48">
      <c r="B10" s="77"/>
      <c r="C10" s="77"/>
      <c r="D10" s="77"/>
      <c r="E10" s="14" t="s">
        <v>49</v>
      </c>
      <c r="F10" s="12" t="s">
        <v>50</v>
      </c>
      <c r="G10" s="77"/>
    </row>
    <row r="11" spans="2:7" ht="32">
      <c r="B11" s="78"/>
      <c r="C11" s="78"/>
      <c r="D11" s="78"/>
      <c r="E11" s="14" t="s">
        <v>51</v>
      </c>
      <c r="F11" s="12" t="s">
        <v>52</v>
      </c>
      <c r="G11" s="78"/>
    </row>
    <row r="12" spans="2:7">
      <c r="B12" s="13"/>
      <c r="C12" s="13"/>
      <c r="D12" s="13"/>
      <c r="E12" s="13"/>
      <c r="F12" s="13"/>
      <c r="G12" s="13"/>
    </row>
    <row r="13" spans="2:7" ht="64">
      <c r="B13" s="76" t="s">
        <v>53</v>
      </c>
      <c r="C13" s="79" t="s">
        <v>54</v>
      </c>
      <c r="D13" s="80">
        <v>5</v>
      </c>
      <c r="E13" s="10" t="s">
        <v>55</v>
      </c>
      <c r="F13" s="11" t="s">
        <v>56</v>
      </c>
      <c r="G13" s="81"/>
    </row>
    <row r="14" spans="2:7" ht="112">
      <c r="B14" s="77"/>
      <c r="C14" s="77"/>
      <c r="D14" s="77"/>
      <c r="E14" s="10" t="s">
        <v>57</v>
      </c>
      <c r="F14" s="12" t="s">
        <v>58</v>
      </c>
      <c r="G14" s="77"/>
    </row>
    <row r="15" spans="2:7" ht="144">
      <c r="B15" s="78"/>
      <c r="C15" s="78"/>
      <c r="D15" s="78"/>
      <c r="E15" s="10" t="s">
        <v>59</v>
      </c>
      <c r="F15" s="12" t="s">
        <v>60</v>
      </c>
      <c r="G15" s="78"/>
    </row>
    <row r="16" spans="2:7">
      <c r="B16" s="13"/>
      <c r="C16" s="13"/>
      <c r="D16" s="13"/>
      <c r="E16" s="13"/>
      <c r="F16" s="13"/>
      <c r="G16" s="13"/>
    </row>
    <row r="18" spans="2:4" ht="27.75" customHeight="1">
      <c r="B18" s="82" t="s">
        <v>61</v>
      </c>
      <c r="C18" s="58"/>
      <c r="D18" s="15">
        <f>IFERROR(AVERAGE(D5,D9,D13),"")</f>
        <v>4.333333333333333</v>
      </c>
    </row>
    <row r="21" spans="2:4" ht="15.75" customHeight="1"/>
    <row r="22" spans="2:4" ht="15.75" customHeight="1"/>
    <row r="23" spans="2:4" ht="15.75" customHeight="1"/>
    <row r="24" spans="2:4" ht="15.75" customHeight="1"/>
    <row r="25" spans="2:4" ht="15.75" customHeight="1"/>
    <row r="26" spans="2:4" ht="15.75" customHeight="1"/>
    <row r="27" spans="2:4" ht="15.75" customHeight="1"/>
    <row r="28" spans="2:4" ht="15.75" customHeight="1"/>
    <row r="29" spans="2:4" ht="15.75" customHeight="1"/>
    <row r="30" spans="2:4" ht="15.75" customHeight="1"/>
    <row r="31" spans="2:4" ht="15.75" customHeight="1"/>
    <row r="32" spans="2: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G9:G11"/>
    <mergeCell ref="B13:B15"/>
    <mergeCell ref="D13:D15"/>
    <mergeCell ref="G13:G15"/>
    <mergeCell ref="C13:C15"/>
    <mergeCell ref="B18:C18"/>
    <mergeCell ref="B9:B11"/>
    <mergeCell ref="C9:C11"/>
    <mergeCell ref="D9:D11"/>
    <mergeCell ref="B1:G1"/>
    <mergeCell ref="B2:G2"/>
    <mergeCell ref="B3:G3"/>
    <mergeCell ref="B5:B7"/>
    <mergeCell ref="C5:C7"/>
    <mergeCell ref="D5:D7"/>
    <mergeCell ref="G5:G7"/>
  </mergeCells>
  <dataValidations count="1">
    <dataValidation type="list" allowBlank="1" sqref="D13" xr:uid="{00000000-0002-0000-0100-000000000000}">
      <formula1>"1,2,3,4,5,6"</formula1>
    </dataValidation>
  </dataValidations>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G1000"/>
  <sheetViews>
    <sheetView showGridLines="0" workbookViewId="0"/>
  </sheetViews>
  <sheetFormatPr baseColWidth="10" defaultColWidth="14.5" defaultRowHeight="15" customHeight="1"/>
  <cols>
    <col min="1" max="1" width="3" customWidth="1"/>
    <col min="2" max="2" width="28" customWidth="1"/>
    <col min="3" max="3" width="36" customWidth="1"/>
    <col min="4" max="4" width="10" customWidth="1"/>
    <col min="5" max="6" width="34" customWidth="1"/>
    <col min="7" max="7" width="18" customWidth="1"/>
    <col min="8" max="26" width="8.6640625" customWidth="1"/>
  </cols>
  <sheetData>
    <row r="1" spans="2:7" ht="27.75" customHeight="1">
      <c r="B1" s="84" t="s">
        <v>62</v>
      </c>
      <c r="C1" s="57"/>
      <c r="D1" s="57"/>
      <c r="E1" s="57"/>
      <c r="F1" s="57"/>
      <c r="G1" s="58"/>
    </row>
    <row r="2" spans="2:7" ht="21.75" customHeight="1">
      <c r="B2" s="85" t="s">
        <v>63</v>
      </c>
      <c r="C2" s="57"/>
      <c r="D2" s="57"/>
      <c r="E2" s="57"/>
      <c r="F2" s="57"/>
      <c r="G2" s="58"/>
    </row>
    <row r="3" spans="2:7" ht="15.75" customHeight="1">
      <c r="B3" s="75" t="s">
        <v>30</v>
      </c>
      <c r="C3" s="57"/>
      <c r="D3" s="57"/>
      <c r="E3" s="57"/>
      <c r="F3" s="57"/>
      <c r="G3" s="58"/>
    </row>
    <row r="4" spans="2:7" ht="31.5" customHeight="1">
      <c r="B4" s="16" t="s">
        <v>31</v>
      </c>
      <c r="C4" s="16" t="s">
        <v>32</v>
      </c>
      <c r="D4" s="16" t="s">
        <v>33</v>
      </c>
      <c r="E4" s="16" t="s">
        <v>34</v>
      </c>
      <c r="F4" s="17" t="s">
        <v>35</v>
      </c>
      <c r="G4" s="16" t="s">
        <v>36</v>
      </c>
    </row>
    <row r="5" spans="2:7" ht="176">
      <c r="B5" s="86" t="s">
        <v>64</v>
      </c>
      <c r="C5" s="79" t="s">
        <v>65</v>
      </c>
      <c r="D5" s="87">
        <v>1</v>
      </c>
      <c r="E5" s="10" t="s">
        <v>66</v>
      </c>
      <c r="F5" s="11" t="s">
        <v>67</v>
      </c>
      <c r="G5" s="81" t="s">
        <v>68</v>
      </c>
    </row>
    <row r="6" spans="2:7" ht="30" customHeight="1">
      <c r="B6" s="77"/>
      <c r="C6" s="77"/>
      <c r="D6" s="77"/>
      <c r="E6" s="10" t="s">
        <v>69</v>
      </c>
      <c r="F6" s="12" t="s">
        <v>70</v>
      </c>
      <c r="G6" s="77"/>
    </row>
    <row r="7" spans="2:7" ht="30" customHeight="1">
      <c r="B7" s="78"/>
      <c r="C7" s="78"/>
      <c r="D7" s="78"/>
      <c r="E7" s="10" t="s">
        <v>71</v>
      </c>
      <c r="F7" s="12" t="s">
        <v>72</v>
      </c>
      <c r="G7" s="78"/>
    </row>
    <row r="8" spans="2:7">
      <c r="B8" s="13"/>
      <c r="C8" s="13"/>
      <c r="D8" s="13"/>
      <c r="E8" s="13"/>
      <c r="F8" s="13"/>
      <c r="G8" s="13"/>
    </row>
    <row r="9" spans="2:7" ht="64">
      <c r="B9" s="86" t="s">
        <v>73</v>
      </c>
      <c r="C9" s="83" t="s">
        <v>74</v>
      </c>
      <c r="D9" s="87">
        <v>5</v>
      </c>
      <c r="E9" s="14" t="s">
        <v>75</v>
      </c>
      <c r="F9" s="12" t="s">
        <v>76</v>
      </c>
      <c r="G9" s="81"/>
    </row>
    <row r="10" spans="2:7" ht="30" customHeight="1">
      <c r="B10" s="77"/>
      <c r="C10" s="77"/>
      <c r="D10" s="77"/>
      <c r="E10" s="14" t="s">
        <v>77</v>
      </c>
      <c r="F10" s="12" t="s">
        <v>78</v>
      </c>
      <c r="G10" s="77"/>
    </row>
    <row r="11" spans="2:7" ht="64">
      <c r="B11" s="78"/>
      <c r="C11" s="78"/>
      <c r="D11" s="78"/>
      <c r="E11" s="14" t="s">
        <v>79</v>
      </c>
      <c r="F11" s="12" t="s">
        <v>80</v>
      </c>
      <c r="G11" s="78"/>
    </row>
    <row r="12" spans="2:7" ht="6" customHeight="1">
      <c r="B12" s="13"/>
      <c r="C12" s="13"/>
      <c r="D12" s="13"/>
      <c r="E12" s="13"/>
      <c r="F12" s="13"/>
      <c r="G12" s="13"/>
    </row>
    <row r="13" spans="2:7" ht="30" customHeight="1">
      <c r="B13" s="86" t="s">
        <v>81</v>
      </c>
      <c r="C13" s="79" t="s">
        <v>82</v>
      </c>
      <c r="D13" s="87">
        <v>1</v>
      </c>
      <c r="E13" s="10" t="s">
        <v>83</v>
      </c>
      <c r="F13" s="11" t="s">
        <v>84</v>
      </c>
      <c r="G13" s="81"/>
    </row>
    <row r="14" spans="2:7" ht="30" customHeight="1">
      <c r="B14" s="77"/>
      <c r="C14" s="77"/>
      <c r="D14" s="77"/>
      <c r="E14" s="10" t="s">
        <v>85</v>
      </c>
      <c r="F14" s="12" t="s">
        <v>86</v>
      </c>
      <c r="G14" s="77"/>
    </row>
    <row r="15" spans="2:7" ht="30" customHeight="1">
      <c r="B15" s="78"/>
      <c r="C15" s="78"/>
      <c r="D15" s="78"/>
      <c r="E15" s="10" t="s">
        <v>87</v>
      </c>
      <c r="F15" s="12" t="s">
        <v>88</v>
      </c>
      <c r="G15" s="78"/>
    </row>
    <row r="16" spans="2:7" ht="6" customHeight="1">
      <c r="B16" s="13"/>
      <c r="C16" s="13"/>
      <c r="D16" s="13"/>
      <c r="E16" s="13"/>
      <c r="F16" s="13"/>
      <c r="G16" s="13"/>
    </row>
    <row r="18" spans="2:4" ht="27.75" customHeight="1">
      <c r="B18" s="88" t="s">
        <v>61</v>
      </c>
      <c r="C18" s="58"/>
      <c r="D18" s="18">
        <f>IFERROR(AVERAGE(D5,D9,D13),"")</f>
        <v>2.3333333333333335</v>
      </c>
    </row>
    <row r="21" spans="2:4" ht="15.75" customHeight="1"/>
    <row r="22" spans="2:4" ht="15.75" customHeight="1"/>
    <row r="23" spans="2:4" ht="15.75" customHeight="1"/>
    <row r="24" spans="2:4" ht="15.75" customHeight="1"/>
    <row r="25" spans="2:4" ht="15.75" customHeight="1"/>
    <row r="26" spans="2:4" ht="15.75" customHeight="1"/>
    <row r="27" spans="2:4" ht="15.75" customHeight="1"/>
    <row r="28" spans="2:4" ht="15.75" customHeight="1"/>
    <row r="29" spans="2:4" ht="15.75" customHeight="1"/>
    <row r="30" spans="2:4" ht="15.75" customHeight="1"/>
    <row r="31" spans="2:4" ht="15.75" customHeight="1"/>
    <row r="32" spans="2: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G9:G11"/>
    <mergeCell ref="B13:B15"/>
    <mergeCell ref="D13:D15"/>
    <mergeCell ref="G13:G15"/>
    <mergeCell ref="C13:C15"/>
    <mergeCell ref="B18:C18"/>
    <mergeCell ref="B9:B11"/>
    <mergeCell ref="C9:C11"/>
    <mergeCell ref="D9:D11"/>
    <mergeCell ref="B1:G1"/>
    <mergeCell ref="B2:G2"/>
    <mergeCell ref="B3:G3"/>
    <mergeCell ref="B5:B7"/>
    <mergeCell ref="C5:C7"/>
    <mergeCell ref="D5:D7"/>
    <mergeCell ref="G5:G7"/>
  </mergeCells>
  <dataValidations count="1">
    <dataValidation type="list" allowBlank="1" sqref="D13" xr:uid="{00000000-0002-0000-0200-000000000000}">
      <formula1>"1,2,3,4,5,6"</formula1>
    </dataValidation>
  </dataValidations>
  <pageMargins left="0.75" right="0.75" top="1" bottom="1" header="0" footer="0"/>
  <pageSetup paperSize="9"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G1000"/>
  <sheetViews>
    <sheetView showGridLines="0" workbookViewId="0"/>
  </sheetViews>
  <sheetFormatPr baseColWidth="10" defaultColWidth="14.5" defaultRowHeight="15" customHeight="1"/>
  <cols>
    <col min="1" max="1" width="3" customWidth="1"/>
    <col min="2" max="2" width="28" customWidth="1"/>
    <col min="3" max="3" width="36" customWidth="1"/>
    <col min="4" max="4" width="10" customWidth="1"/>
    <col min="5" max="6" width="34" customWidth="1"/>
    <col min="7" max="7" width="18" customWidth="1"/>
    <col min="8" max="26" width="8.6640625" customWidth="1"/>
  </cols>
  <sheetData>
    <row r="1" spans="2:7" ht="27.75" customHeight="1">
      <c r="B1" s="89" t="s">
        <v>89</v>
      </c>
      <c r="C1" s="57"/>
      <c r="D1" s="57"/>
      <c r="E1" s="57"/>
      <c r="F1" s="57"/>
      <c r="G1" s="58"/>
    </row>
    <row r="2" spans="2:7" ht="21.75" customHeight="1">
      <c r="B2" s="90" t="s">
        <v>90</v>
      </c>
      <c r="C2" s="57"/>
      <c r="D2" s="57"/>
      <c r="E2" s="57"/>
      <c r="F2" s="57"/>
      <c r="G2" s="58"/>
    </row>
    <row r="3" spans="2:7" ht="15.75" customHeight="1">
      <c r="B3" s="75" t="s">
        <v>30</v>
      </c>
      <c r="C3" s="57"/>
      <c r="D3" s="57"/>
      <c r="E3" s="57"/>
      <c r="F3" s="57"/>
      <c r="G3" s="58"/>
    </row>
    <row r="4" spans="2:7" ht="31.5" customHeight="1">
      <c r="B4" s="19" t="s">
        <v>31</v>
      </c>
      <c r="C4" s="19" t="s">
        <v>32</v>
      </c>
      <c r="D4" s="19" t="s">
        <v>33</v>
      </c>
      <c r="E4" s="19" t="s">
        <v>34</v>
      </c>
      <c r="F4" s="20" t="s">
        <v>35</v>
      </c>
      <c r="G4" s="19" t="s">
        <v>36</v>
      </c>
    </row>
    <row r="5" spans="2:7" ht="30" customHeight="1">
      <c r="B5" s="91" t="s">
        <v>91</v>
      </c>
      <c r="C5" s="79" t="s">
        <v>92</v>
      </c>
      <c r="D5" s="92">
        <v>2</v>
      </c>
      <c r="E5" s="10" t="s">
        <v>93</v>
      </c>
      <c r="F5" s="21" t="s">
        <v>94</v>
      </c>
      <c r="G5" s="81"/>
    </row>
    <row r="6" spans="2:7" ht="30" customHeight="1">
      <c r="B6" s="77"/>
      <c r="C6" s="77"/>
      <c r="D6" s="77"/>
      <c r="E6" s="10" t="s">
        <v>95</v>
      </c>
      <c r="F6" s="12" t="s">
        <v>96</v>
      </c>
      <c r="G6" s="77"/>
    </row>
    <row r="7" spans="2:7" ht="30" customHeight="1">
      <c r="B7" s="78"/>
      <c r="C7" s="78"/>
      <c r="D7" s="78"/>
      <c r="E7" s="10" t="s">
        <v>97</v>
      </c>
      <c r="F7" s="12" t="s">
        <v>98</v>
      </c>
      <c r="G7" s="78"/>
    </row>
    <row r="8" spans="2:7" ht="6" customHeight="1">
      <c r="B8" s="13"/>
      <c r="C8" s="13"/>
      <c r="D8" s="13"/>
      <c r="E8" s="13"/>
      <c r="F8" s="13"/>
      <c r="G8" s="13"/>
    </row>
    <row r="9" spans="2:7" ht="30" customHeight="1">
      <c r="B9" s="91" t="s">
        <v>99</v>
      </c>
      <c r="C9" s="83" t="s">
        <v>100</v>
      </c>
      <c r="D9" s="92">
        <v>2</v>
      </c>
      <c r="E9" s="14" t="s">
        <v>101</v>
      </c>
      <c r="F9" s="21" t="s">
        <v>102</v>
      </c>
      <c r="G9" s="81"/>
    </row>
    <row r="10" spans="2:7" ht="30" customHeight="1">
      <c r="B10" s="77"/>
      <c r="C10" s="77"/>
      <c r="D10" s="77"/>
      <c r="E10" s="14" t="s">
        <v>103</v>
      </c>
      <c r="F10" s="12" t="s">
        <v>104</v>
      </c>
      <c r="G10" s="77"/>
    </row>
    <row r="11" spans="2:7" ht="30" customHeight="1">
      <c r="B11" s="78"/>
      <c r="C11" s="78"/>
      <c r="D11" s="78"/>
      <c r="E11" s="14" t="s">
        <v>105</v>
      </c>
      <c r="F11" s="12" t="s">
        <v>106</v>
      </c>
      <c r="G11" s="78"/>
    </row>
    <row r="12" spans="2:7" ht="6" customHeight="1">
      <c r="B12" s="13"/>
      <c r="C12" s="13"/>
      <c r="D12" s="13"/>
      <c r="E12" s="13"/>
      <c r="F12" s="13"/>
      <c r="G12" s="13"/>
    </row>
    <row r="13" spans="2:7" ht="30" customHeight="1">
      <c r="B13" s="91" t="s">
        <v>107</v>
      </c>
      <c r="C13" s="79" t="s">
        <v>108</v>
      </c>
      <c r="D13" s="92">
        <v>2</v>
      </c>
      <c r="E13" s="10" t="s">
        <v>109</v>
      </c>
      <c r="F13" s="11" t="s">
        <v>110</v>
      </c>
      <c r="G13" s="81"/>
    </row>
    <row r="14" spans="2:7" ht="30" customHeight="1">
      <c r="B14" s="77"/>
      <c r="C14" s="77"/>
      <c r="D14" s="77"/>
      <c r="E14" s="10" t="s">
        <v>111</v>
      </c>
      <c r="F14" s="12" t="s">
        <v>112</v>
      </c>
      <c r="G14" s="77"/>
    </row>
    <row r="15" spans="2:7" ht="30" customHeight="1">
      <c r="B15" s="78"/>
      <c r="C15" s="78"/>
      <c r="D15" s="78"/>
      <c r="E15" s="10" t="s">
        <v>113</v>
      </c>
      <c r="F15" s="12" t="s">
        <v>112</v>
      </c>
      <c r="G15" s="78"/>
    </row>
    <row r="16" spans="2:7" ht="6" customHeight="1">
      <c r="B16" s="13"/>
      <c r="C16" s="13"/>
      <c r="D16" s="13"/>
      <c r="E16" s="13"/>
      <c r="F16" s="13"/>
      <c r="G16" s="13"/>
    </row>
    <row r="17" spans="2:7" ht="30" customHeight="1">
      <c r="B17" s="91" t="s">
        <v>114</v>
      </c>
      <c r="C17" s="83" t="s">
        <v>115</v>
      </c>
      <c r="D17" s="92">
        <v>1</v>
      </c>
      <c r="E17" s="14" t="s">
        <v>116</v>
      </c>
      <c r="F17" s="12" t="s">
        <v>117</v>
      </c>
      <c r="G17" s="81"/>
    </row>
    <row r="18" spans="2:7" ht="30" customHeight="1">
      <c r="B18" s="77"/>
      <c r="C18" s="77"/>
      <c r="D18" s="77"/>
      <c r="E18" s="14" t="s">
        <v>118</v>
      </c>
      <c r="F18" s="21" t="s">
        <v>119</v>
      </c>
      <c r="G18" s="77"/>
    </row>
    <row r="19" spans="2:7" ht="30" customHeight="1">
      <c r="B19" s="78"/>
      <c r="C19" s="78"/>
      <c r="D19" s="78"/>
      <c r="E19" s="14" t="s">
        <v>120</v>
      </c>
      <c r="F19" s="12" t="s">
        <v>121</v>
      </c>
      <c r="G19" s="78"/>
    </row>
    <row r="20" spans="2:7" ht="6" customHeight="1">
      <c r="B20" s="13"/>
      <c r="C20" s="13"/>
      <c r="D20" s="13"/>
      <c r="E20" s="13"/>
      <c r="F20" s="13"/>
      <c r="G20" s="13"/>
    </row>
    <row r="21" spans="2:7" ht="15.75" customHeight="1"/>
    <row r="22" spans="2:7" ht="27.75" customHeight="1">
      <c r="B22" s="93" t="s">
        <v>61</v>
      </c>
      <c r="C22" s="58"/>
      <c r="D22" s="22">
        <f>IFERROR(AVERAGE(D5,D9,D13,D17),"")</f>
        <v>1.75</v>
      </c>
    </row>
    <row r="23" spans="2:7" ht="15.75" customHeight="1"/>
    <row r="24" spans="2:7" ht="15.75" customHeight="1"/>
    <row r="25" spans="2:7" ht="15.75" customHeight="1"/>
    <row r="26" spans="2:7" ht="15.75" customHeight="1"/>
    <row r="27" spans="2:7" ht="15.75" customHeight="1"/>
    <row r="28" spans="2:7" ht="15.75" customHeight="1"/>
    <row r="29" spans="2:7" ht="15.75" customHeight="1"/>
    <row r="30" spans="2:7" ht="15.75" customHeight="1"/>
    <row r="31" spans="2:7" ht="15.75" customHeight="1"/>
    <row r="32" spans="2: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B22:C22"/>
    <mergeCell ref="B9:B11"/>
    <mergeCell ref="C9:C11"/>
    <mergeCell ref="D9:D11"/>
    <mergeCell ref="G9:G11"/>
    <mergeCell ref="C13:C15"/>
    <mergeCell ref="D13:D15"/>
    <mergeCell ref="G13:G15"/>
    <mergeCell ref="B13:B15"/>
    <mergeCell ref="B17:B19"/>
    <mergeCell ref="C17:C19"/>
    <mergeCell ref="D17:D19"/>
    <mergeCell ref="G17:G19"/>
    <mergeCell ref="B1:G1"/>
    <mergeCell ref="B2:G2"/>
    <mergeCell ref="B3:G3"/>
    <mergeCell ref="B5:B7"/>
    <mergeCell ref="C5:C7"/>
    <mergeCell ref="D5:D7"/>
    <mergeCell ref="G5:G7"/>
  </mergeCells>
  <dataValidations count="1">
    <dataValidation type="list" allowBlank="1" sqref="D17" xr:uid="{00000000-0002-0000-0300-000000000000}">
      <formula1>"1,2,3,4,5,6"</formula1>
    </dataValidation>
  </dataValidations>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G1000"/>
  <sheetViews>
    <sheetView showGridLines="0" workbookViewId="0">
      <selection activeCell="G13" sqref="G13:G15"/>
    </sheetView>
  </sheetViews>
  <sheetFormatPr baseColWidth="10" defaultColWidth="14.5" defaultRowHeight="15" customHeight="1"/>
  <cols>
    <col min="1" max="1" width="3" customWidth="1"/>
    <col min="2" max="2" width="28" customWidth="1"/>
    <col min="3" max="3" width="36" customWidth="1"/>
    <col min="4" max="4" width="10" customWidth="1"/>
    <col min="5" max="6" width="34" customWidth="1"/>
    <col min="7" max="7" width="18" customWidth="1"/>
    <col min="8" max="26" width="8.6640625" customWidth="1"/>
  </cols>
  <sheetData>
    <row r="1" spans="2:7" ht="27.75" customHeight="1">
      <c r="B1" s="94" t="s">
        <v>122</v>
      </c>
      <c r="C1" s="57"/>
      <c r="D1" s="57"/>
      <c r="E1" s="57"/>
      <c r="F1" s="57"/>
      <c r="G1" s="58"/>
    </row>
    <row r="2" spans="2:7" ht="21.75" customHeight="1">
      <c r="B2" s="95" t="s">
        <v>123</v>
      </c>
      <c r="C2" s="57"/>
      <c r="D2" s="57"/>
      <c r="E2" s="57"/>
      <c r="F2" s="57"/>
      <c r="G2" s="58"/>
    </row>
    <row r="3" spans="2:7" ht="15.75" customHeight="1">
      <c r="B3" s="75" t="s">
        <v>30</v>
      </c>
      <c r="C3" s="57"/>
      <c r="D3" s="57"/>
      <c r="E3" s="57"/>
      <c r="F3" s="57"/>
      <c r="G3" s="58"/>
    </row>
    <row r="4" spans="2:7" ht="31.5" customHeight="1">
      <c r="B4" s="23" t="s">
        <v>31</v>
      </c>
      <c r="C4" s="23" t="s">
        <v>32</v>
      </c>
      <c r="D4" s="23" t="s">
        <v>33</v>
      </c>
      <c r="E4" s="23" t="s">
        <v>34</v>
      </c>
      <c r="F4" s="24" t="s">
        <v>35</v>
      </c>
      <c r="G4" s="23" t="s">
        <v>36</v>
      </c>
    </row>
    <row r="5" spans="2:7" ht="30" customHeight="1">
      <c r="B5" s="96" t="s">
        <v>124</v>
      </c>
      <c r="C5" s="79" t="s">
        <v>125</v>
      </c>
      <c r="D5" s="97">
        <v>2</v>
      </c>
      <c r="E5" s="10" t="s">
        <v>126</v>
      </c>
      <c r="F5" s="21" t="s">
        <v>127</v>
      </c>
      <c r="G5" s="81"/>
    </row>
    <row r="6" spans="2:7" ht="30" customHeight="1">
      <c r="B6" s="77"/>
      <c r="C6" s="77"/>
      <c r="D6" s="77"/>
      <c r="E6" s="10" t="s">
        <v>128</v>
      </c>
      <c r="F6" s="12" t="s">
        <v>129</v>
      </c>
      <c r="G6" s="77"/>
    </row>
    <row r="7" spans="2:7" ht="30" customHeight="1">
      <c r="B7" s="78"/>
      <c r="C7" s="78"/>
      <c r="D7" s="78"/>
      <c r="E7" s="10" t="s">
        <v>130</v>
      </c>
      <c r="F7" s="12" t="s">
        <v>131</v>
      </c>
      <c r="G7" s="78"/>
    </row>
    <row r="8" spans="2:7" ht="6" customHeight="1">
      <c r="B8" s="13"/>
      <c r="C8" s="13"/>
      <c r="D8" s="13"/>
      <c r="E8" s="13"/>
      <c r="F8" s="13"/>
      <c r="G8" s="13"/>
    </row>
    <row r="9" spans="2:7" ht="30" customHeight="1">
      <c r="B9" s="96" t="s">
        <v>132</v>
      </c>
      <c r="C9" s="83" t="s">
        <v>133</v>
      </c>
      <c r="D9" s="97">
        <v>3</v>
      </c>
      <c r="E9" s="14" t="s">
        <v>134</v>
      </c>
      <c r="F9" s="11" t="s">
        <v>135</v>
      </c>
      <c r="G9" s="81"/>
    </row>
    <row r="10" spans="2:7" ht="30" customHeight="1">
      <c r="B10" s="77"/>
      <c r="C10" s="77"/>
      <c r="D10" s="77"/>
      <c r="E10" s="14" t="s">
        <v>136</v>
      </c>
      <c r="F10" s="12" t="s">
        <v>137</v>
      </c>
      <c r="G10" s="77"/>
    </row>
    <row r="11" spans="2:7" ht="30" customHeight="1">
      <c r="B11" s="78"/>
      <c r="C11" s="78"/>
      <c r="D11" s="78"/>
      <c r="E11" s="14" t="s">
        <v>138</v>
      </c>
      <c r="F11" s="21" t="s">
        <v>139</v>
      </c>
      <c r="G11" s="78"/>
    </row>
    <row r="12" spans="2:7" ht="6" customHeight="1">
      <c r="B12" s="13"/>
      <c r="C12" s="13"/>
      <c r="D12" s="13"/>
      <c r="E12" s="13"/>
      <c r="F12" s="13"/>
      <c r="G12" s="13"/>
    </row>
    <row r="13" spans="2:7" ht="30" customHeight="1">
      <c r="B13" s="96" t="s">
        <v>140</v>
      </c>
      <c r="C13" s="79" t="s">
        <v>141</v>
      </c>
      <c r="D13" s="97">
        <v>1</v>
      </c>
      <c r="E13" s="10" t="s">
        <v>142</v>
      </c>
      <c r="F13" s="11" t="s">
        <v>143</v>
      </c>
      <c r="G13" s="81"/>
    </row>
    <row r="14" spans="2:7" ht="30" customHeight="1">
      <c r="B14" s="77"/>
      <c r="C14" s="77"/>
      <c r="D14" s="77"/>
      <c r="E14" s="10" t="s">
        <v>144</v>
      </c>
      <c r="F14" s="12" t="s">
        <v>145</v>
      </c>
      <c r="G14" s="77"/>
    </row>
    <row r="15" spans="2:7" ht="30" customHeight="1">
      <c r="B15" s="78"/>
      <c r="C15" s="78"/>
      <c r="D15" s="78"/>
      <c r="E15" s="10" t="s">
        <v>146</v>
      </c>
      <c r="F15" s="12" t="s">
        <v>147</v>
      </c>
      <c r="G15" s="78"/>
    </row>
    <row r="16" spans="2:7" ht="6" customHeight="1">
      <c r="B16" s="13"/>
      <c r="C16" s="13"/>
      <c r="D16" s="13"/>
      <c r="E16" s="13"/>
      <c r="F16" s="13"/>
      <c r="G16" s="13"/>
    </row>
    <row r="18" spans="2:4" ht="27.75" customHeight="1">
      <c r="B18" s="98" t="s">
        <v>61</v>
      </c>
      <c r="C18" s="58"/>
      <c r="D18" s="25">
        <f>IFERROR(AVERAGE(D5,D9,D13),"")</f>
        <v>2</v>
      </c>
    </row>
    <row r="21" spans="2:4" ht="15.75" customHeight="1"/>
    <row r="22" spans="2:4" ht="15.75" customHeight="1"/>
    <row r="23" spans="2:4" ht="15.75" customHeight="1"/>
    <row r="24" spans="2:4" ht="15.75" customHeight="1"/>
    <row r="25" spans="2:4" ht="15.75" customHeight="1"/>
    <row r="26" spans="2:4" ht="15.75" customHeight="1"/>
    <row r="27" spans="2:4" ht="15.75" customHeight="1"/>
    <row r="28" spans="2:4" ht="15.75" customHeight="1"/>
    <row r="29" spans="2:4" ht="15.75" customHeight="1"/>
    <row r="30" spans="2:4" ht="15.75" customHeight="1"/>
    <row r="31" spans="2:4" ht="15.75" customHeight="1"/>
    <row r="32" spans="2: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G9:G11"/>
    <mergeCell ref="B13:B15"/>
    <mergeCell ref="D13:D15"/>
    <mergeCell ref="G13:G15"/>
    <mergeCell ref="C13:C15"/>
    <mergeCell ref="B18:C18"/>
    <mergeCell ref="B9:B11"/>
    <mergeCell ref="C9:C11"/>
    <mergeCell ref="D9:D11"/>
    <mergeCell ref="B1:G1"/>
    <mergeCell ref="B2:G2"/>
    <mergeCell ref="B3:G3"/>
    <mergeCell ref="B5:B7"/>
    <mergeCell ref="C5:C7"/>
    <mergeCell ref="D5:D7"/>
    <mergeCell ref="G5:G7"/>
  </mergeCells>
  <dataValidations count="1">
    <dataValidation type="list" allowBlank="1" sqref="D13" xr:uid="{00000000-0002-0000-0400-000000000000}">
      <formula1>"1,2,3,4,5,6"</formula1>
    </dataValidation>
  </dataValidations>
  <pageMargins left="0.75" right="0.75" top="1" bottom="1"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G1000"/>
  <sheetViews>
    <sheetView showGridLines="0" workbookViewId="0">
      <selection activeCell="D16" sqref="D16"/>
    </sheetView>
  </sheetViews>
  <sheetFormatPr baseColWidth="10" defaultColWidth="14.5" defaultRowHeight="15" customHeight="1"/>
  <cols>
    <col min="1" max="1" width="3" customWidth="1"/>
    <col min="2" max="2" width="28" customWidth="1"/>
    <col min="3" max="3" width="36" customWidth="1"/>
    <col min="4" max="4" width="10" customWidth="1"/>
    <col min="5" max="6" width="34" customWidth="1"/>
    <col min="7" max="7" width="18" customWidth="1"/>
    <col min="8" max="26" width="8.6640625" customWidth="1"/>
  </cols>
  <sheetData>
    <row r="1" spans="2:7" ht="27.75" customHeight="1">
      <c r="B1" s="99" t="s">
        <v>148</v>
      </c>
      <c r="C1" s="57"/>
      <c r="D1" s="57"/>
      <c r="E1" s="57"/>
      <c r="F1" s="57"/>
      <c r="G1" s="58"/>
    </row>
    <row r="2" spans="2:7" ht="21.75" customHeight="1">
      <c r="B2" s="100" t="s">
        <v>149</v>
      </c>
      <c r="C2" s="57"/>
      <c r="D2" s="57"/>
      <c r="E2" s="57"/>
      <c r="F2" s="57"/>
      <c r="G2" s="58"/>
    </row>
    <row r="3" spans="2:7" ht="15.75" customHeight="1">
      <c r="B3" s="75" t="s">
        <v>30</v>
      </c>
      <c r="C3" s="57"/>
      <c r="D3" s="57"/>
      <c r="E3" s="57"/>
      <c r="F3" s="57"/>
      <c r="G3" s="58"/>
    </row>
    <row r="4" spans="2:7" ht="31.5" customHeight="1">
      <c r="B4" s="26" t="s">
        <v>31</v>
      </c>
      <c r="C4" s="26" t="s">
        <v>32</v>
      </c>
      <c r="D4" s="26" t="s">
        <v>33</v>
      </c>
      <c r="E4" s="26" t="s">
        <v>34</v>
      </c>
      <c r="F4" s="26" t="s">
        <v>35</v>
      </c>
      <c r="G4" s="26" t="s">
        <v>36</v>
      </c>
    </row>
    <row r="5" spans="2:7" ht="30" customHeight="1">
      <c r="B5" s="102" t="s">
        <v>150</v>
      </c>
      <c r="C5" s="79" t="s">
        <v>151</v>
      </c>
      <c r="D5" s="101">
        <v>5</v>
      </c>
      <c r="E5" s="10" t="s">
        <v>152</v>
      </c>
      <c r="F5" s="81"/>
      <c r="G5" s="81"/>
    </row>
    <row r="6" spans="2:7" ht="30" customHeight="1">
      <c r="B6" s="77"/>
      <c r="C6" s="77"/>
      <c r="D6" s="77"/>
      <c r="E6" s="10" t="s">
        <v>153</v>
      </c>
      <c r="F6" s="77"/>
      <c r="G6" s="77"/>
    </row>
    <row r="7" spans="2:7" ht="30" customHeight="1">
      <c r="B7" s="78"/>
      <c r="C7" s="78"/>
      <c r="D7" s="78"/>
      <c r="E7" s="10" t="s">
        <v>154</v>
      </c>
      <c r="F7" s="78"/>
      <c r="G7" s="78"/>
    </row>
    <row r="8" spans="2:7" ht="6" customHeight="1">
      <c r="B8" s="13"/>
      <c r="C8" s="13"/>
      <c r="D8" s="13"/>
      <c r="E8" s="13"/>
      <c r="F8" s="13"/>
      <c r="G8" s="13"/>
    </row>
    <row r="9" spans="2:7" ht="30" customHeight="1">
      <c r="B9" s="102" t="s">
        <v>155</v>
      </c>
      <c r="C9" s="83" t="s">
        <v>156</v>
      </c>
      <c r="D9" s="101">
        <v>1</v>
      </c>
      <c r="E9" s="14" t="s">
        <v>157</v>
      </c>
      <c r="F9" s="81"/>
      <c r="G9" s="81"/>
    </row>
    <row r="10" spans="2:7" ht="30" customHeight="1">
      <c r="B10" s="77"/>
      <c r="C10" s="77"/>
      <c r="D10" s="77"/>
      <c r="E10" s="14" t="s">
        <v>158</v>
      </c>
      <c r="F10" s="77"/>
      <c r="G10" s="77"/>
    </row>
    <row r="11" spans="2:7" ht="30" customHeight="1">
      <c r="B11" s="78"/>
      <c r="C11" s="78"/>
      <c r="D11" s="78"/>
      <c r="E11" s="14" t="s">
        <v>159</v>
      </c>
      <c r="F11" s="78"/>
      <c r="G11" s="78"/>
    </row>
    <row r="12" spans="2:7" ht="6" customHeight="1">
      <c r="B12" s="13"/>
      <c r="C12" s="13"/>
      <c r="D12" s="13"/>
      <c r="E12" s="13"/>
      <c r="F12" s="13"/>
      <c r="G12" s="13"/>
    </row>
    <row r="13" spans="2:7" ht="30" customHeight="1">
      <c r="B13" s="102" t="s">
        <v>160</v>
      </c>
      <c r="C13" s="79" t="s">
        <v>161</v>
      </c>
      <c r="D13" s="101">
        <v>1</v>
      </c>
      <c r="E13" s="10" t="s">
        <v>162</v>
      </c>
      <c r="F13" s="81"/>
      <c r="G13" s="81"/>
    </row>
    <row r="14" spans="2:7" ht="30" customHeight="1">
      <c r="B14" s="77"/>
      <c r="C14" s="77"/>
      <c r="D14" s="77"/>
      <c r="E14" s="10" t="s">
        <v>163</v>
      </c>
      <c r="F14" s="77"/>
      <c r="G14" s="77"/>
    </row>
    <row r="15" spans="2:7" ht="30" customHeight="1">
      <c r="B15" s="78"/>
      <c r="C15" s="78"/>
      <c r="D15" s="78"/>
      <c r="E15" s="10" t="s">
        <v>164</v>
      </c>
      <c r="F15" s="78"/>
      <c r="G15" s="78"/>
    </row>
    <row r="16" spans="2:7" ht="6" customHeight="1">
      <c r="B16" s="13"/>
      <c r="C16" s="13"/>
      <c r="D16" s="13"/>
      <c r="E16" s="13"/>
      <c r="F16" s="13"/>
      <c r="G16" s="13"/>
    </row>
    <row r="17" spans="2:7" ht="30" customHeight="1">
      <c r="B17" s="102" t="s">
        <v>165</v>
      </c>
      <c r="C17" s="83" t="s">
        <v>166</v>
      </c>
      <c r="D17" s="101">
        <v>1</v>
      </c>
      <c r="E17" s="14" t="s">
        <v>167</v>
      </c>
      <c r="F17" s="81"/>
      <c r="G17" s="81"/>
    </row>
    <row r="18" spans="2:7" ht="30" customHeight="1">
      <c r="B18" s="77"/>
      <c r="C18" s="77"/>
      <c r="D18" s="77"/>
      <c r="E18" s="14" t="s">
        <v>168</v>
      </c>
      <c r="F18" s="77"/>
      <c r="G18" s="77"/>
    </row>
    <row r="19" spans="2:7" ht="30" customHeight="1">
      <c r="B19" s="78"/>
      <c r="C19" s="78"/>
      <c r="D19" s="78"/>
      <c r="E19" s="14" t="s">
        <v>169</v>
      </c>
      <c r="F19" s="78"/>
      <c r="G19" s="78"/>
    </row>
    <row r="20" spans="2:7" ht="6" customHeight="1">
      <c r="B20" s="13"/>
      <c r="C20" s="13"/>
      <c r="D20" s="13"/>
      <c r="E20" s="13"/>
      <c r="F20" s="13"/>
      <c r="G20" s="13"/>
    </row>
    <row r="21" spans="2:7" ht="15.75" customHeight="1"/>
    <row r="22" spans="2:7" ht="27.75" customHeight="1">
      <c r="B22" s="103" t="s">
        <v>61</v>
      </c>
      <c r="C22" s="58"/>
      <c r="D22" s="27">
        <f>IFERROR(AVERAGE(D5,D9,D13,D17),"")</f>
        <v>2</v>
      </c>
    </row>
    <row r="23" spans="2:7" ht="15.75" customHeight="1"/>
    <row r="24" spans="2:7" ht="15.75" customHeight="1"/>
    <row r="25" spans="2:7" ht="15.75" customHeight="1"/>
    <row r="26" spans="2:7" ht="15.75" customHeight="1"/>
    <row r="27" spans="2:7" ht="15.75" customHeight="1"/>
    <row r="28" spans="2:7" ht="15.75" customHeight="1"/>
    <row r="29" spans="2:7" ht="15.75" customHeight="1"/>
    <row r="30" spans="2:7" ht="15.75" customHeight="1"/>
    <row r="31" spans="2:7" ht="15.75" customHeight="1"/>
    <row r="32" spans="2: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B9:B11"/>
    <mergeCell ref="C9:C11"/>
    <mergeCell ref="D9:D11"/>
    <mergeCell ref="F9:F11"/>
    <mergeCell ref="G9:G11"/>
    <mergeCell ref="B22:C22"/>
    <mergeCell ref="F13:F15"/>
    <mergeCell ref="G13:G15"/>
    <mergeCell ref="F17:F19"/>
    <mergeCell ref="G17:G19"/>
    <mergeCell ref="B13:B15"/>
    <mergeCell ref="C13:C15"/>
    <mergeCell ref="D13:D15"/>
    <mergeCell ref="B17:B19"/>
    <mergeCell ref="C17:C19"/>
    <mergeCell ref="D17:D19"/>
    <mergeCell ref="B1:G1"/>
    <mergeCell ref="B2:G2"/>
    <mergeCell ref="B3:G3"/>
    <mergeCell ref="C5:C7"/>
    <mergeCell ref="D5:D7"/>
    <mergeCell ref="F5:F7"/>
    <mergeCell ref="G5:G7"/>
    <mergeCell ref="B5:B7"/>
  </mergeCells>
  <dataValidations count="1">
    <dataValidation type="list" allowBlank="1" sqref="D17" xr:uid="{00000000-0002-0000-0500-000000000000}">
      <formula1>"1,2,3,4,5,6"</formula1>
    </dataValidation>
  </dataValidations>
  <pageMargins left="0.75" right="0.75" top="1" bottom="1"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G1000"/>
  <sheetViews>
    <sheetView showGridLines="0" workbookViewId="0">
      <selection activeCell="D20" sqref="D20"/>
    </sheetView>
  </sheetViews>
  <sheetFormatPr baseColWidth="10" defaultColWidth="14.5" defaultRowHeight="15" customHeight="1"/>
  <cols>
    <col min="1" max="1" width="3" customWidth="1"/>
    <col min="2" max="2" width="28" customWidth="1"/>
    <col min="3" max="3" width="36" customWidth="1"/>
    <col min="4" max="4" width="10" customWidth="1"/>
    <col min="5" max="6" width="34" customWidth="1"/>
    <col min="7" max="7" width="18" customWidth="1"/>
    <col min="8" max="26" width="8.6640625" customWidth="1"/>
  </cols>
  <sheetData>
    <row r="1" spans="2:7" ht="27.75" customHeight="1">
      <c r="B1" s="104" t="s">
        <v>170</v>
      </c>
      <c r="C1" s="57"/>
      <c r="D1" s="57"/>
      <c r="E1" s="57"/>
      <c r="F1" s="57"/>
      <c r="G1" s="58"/>
    </row>
    <row r="2" spans="2:7" ht="21.75" customHeight="1">
      <c r="B2" s="105" t="s">
        <v>171</v>
      </c>
      <c r="C2" s="57"/>
      <c r="D2" s="57"/>
      <c r="E2" s="57"/>
      <c r="F2" s="57"/>
      <c r="G2" s="58"/>
    </row>
    <row r="3" spans="2:7" ht="15.75" customHeight="1">
      <c r="B3" s="75" t="s">
        <v>30</v>
      </c>
      <c r="C3" s="57"/>
      <c r="D3" s="57"/>
      <c r="E3" s="57"/>
      <c r="F3" s="57"/>
      <c r="G3" s="58"/>
    </row>
    <row r="4" spans="2:7" ht="31.5" customHeight="1">
      <c r="B4" s="28" t="s">
        <v>31</v>
      </c>
      <c r="C4" s="28" t="s">
        <v>32</v>
      </c>
      <c r="D4" s="28" t="s">
        <v>33</v>
      </c>
      <c r="E4" s="28" t="s">
        <v>34</v>
      </c>
      <c r="F4" s="28" t="s">
        <v>35</v>
      </c>
      <c r="G4" s="28" t="s">
        <v>36</v>
      </c>
    </row>
    <row r="5" spans="2:7" ht="30" customHeight="1">
      <c r="B5" s="107" t="s">
        <v>172</v>
      </c>
      <c r="C5" s="79" t="s">
        <v>173</v>
      </c>
      <c r="D5" s="106">
        <v>1</v>
      </c>
      <c r="E5" s="10" t="s">
        <v>174</v>
      </c>
      <c r="F5" s="81"/>
      <c r="G5" s="81"/>
    </row>
    <row r="6" spans="2:7" ht="30" customHeight="1">
      <c r="B6" s="77"/>
      <c r="C6" s="77"/>
      <c r="D6" s="77"/>
      <c r="E6" s="10" t="s">
        <v>175</v>
      </c>
      <c r="F6" s="77"/>
      <c r="G6" s="77"/>
    </row>
    <row r="7" spans="2:7" ht="30" customHeight="1">
      <c r="B7" s="78"/>
      <c r="C7" s="78"/>
      <c r="D7" s="78"/>
      <c r="E7" s="10" t="s">
        <v>176</v>
      </c>
      <c r="F7" s="78"/>
      <c r="G7" s="78"/>
    </row>
    <row r="8" spans="2:7" ht="6" customHeight="1">
      <c r="B8" s="13"/>
      <c r="C8" s="13"/>
      <c r="D8" s="13"/>
      <c r="E8" s="13"/>
      <c r="F8" s="13"/>
      <c r="G8" s="13"/>
    </row>
    <row r="9" spans="2:7" ht="30" customHeight="1">
      <c r="B9" s="107" t="s">
        <v>177</v>
      </c>
      <c r="C9" s="83" t="s">
        <v>178</v>
      </c>
      <c r="D9" s="106">
        <v>2</v>
      </c>
      <c r="E9" s="14" t="s">
        <v>179</v>
      </c>
      <c r="F9" s="81"/>
      <c r="G9" s="81"/>
    </row>
    <row r="10" spans="2:7" ht="30" customHeight="1">
      <c r="B10" s="77"/>
      <c r="C10" s="77"/>
      <c r="D10" s="77"/>
      <c r="E10" s="14" t="s">
        <v>180</v>
      </c>
      <c r="F10" s="77"/>
      <c r="G10" s="77"/>
    </row>
    <row r="11" spans="2:7" ht="30" customHeight="1">
      <c r="B11" s="78"/>
      <c r="C11" s="78"/>
      <c r="D11" s="78"/>
      <c r="E11" s="14" t="s">
        <v>181</v>
      </c>
      <c r="F11" s="78"/>
      <c r="G11" s="78"/>
    </row>
    <row r="12" spans="2:7" ht="6" customHeight="1">
      <c r="B12" s="13"/>
      <c r="C12" s="13"/>
      <c r="D12" s="13"/>
      <c r="E12" s="13"/>
      <c r="F12" s="13"/>
      <c r="G12" s="13"/>
    </row>
    <row r="13" spans="2:7" ht="30" customHeight="1">
      <c r="B13" s="107" t="s">
        <v>182</v>
      </c>
      <c r="C13" s="79" t="s">
        <v>183</v>
      </c>
      <c r="D13" s="106">
        <v>1</v>
      </c>
      <c r="E13" s="10" t="s">
        <v>184</v>
      </c>
      <c r="F13" s="81"/>
      <c r="G13" s="81"/>
    </row>
    <row r="14" spans="2:7" ht="30" customHeight="1">
      <c r="B14" s="77"/>
      <c r="C14" s="77"/>
      <c r="D14" s="77"/>
      <c r="E14" s="10" t="s">
        <v>185</v>
      </c>
      <c r="F14" s="77"/>
      <c r="G14" s="77"/>
    </row>
    <row r="15" spans="2:7" ht="30" customHeight="1">
      <c r="B15" s="78"/>
      <c r="C15" s="78"/>
      <c r="D15" s="78"/>
      <c r="E15" s="10" t="s">
        <v>186</v>
      </c>
      <c r="F15" s="78"/>
      <c r="G15" s="78"/>
    </row>
    <row r="16" spans="2:7" ht="6" customHeight="1">
      <c r="B16" s="13"/>
      <c r="C16" s="13"/>
      <c r="D16" s="13"/>
      <c r="E16" s="13"/>
      <c r="F16" s="13"/>
      <c r="G16" s="13"/>
    </row>
    <row r="17" spans="2:7" ht="30" customHeight="1">
      <c r="B17" s="107" t="s">
        <v>187</v>
      </c>
      <c r="C17" s="83" t="s">
        <v>188</v>
      </c>
      <c r="D17" s="106">
        <v>1</v>
      </c>
      <c r="E17" s="14" t="s">
        <v>189</v>
      </c>
      <c r="F17" s="81"/>
      <c r="G17" s="81"/>
    </row>
    <row r="18" spans="2:7" ht="30" customHeight="1">
      <c r="B18" s="77"/>
      <c r="C18" s="77"/>
      <c r="D18" s="77"/>
      <c r="E18" s="14" t="s">
        <v>190</v>
      </c>
      <c r="F18" s="77"/>
      <c r="G18" s="77"/>
    </row>
    <row r="19" spans="2:7" ht="30" customHeight="1">
      <c r="B19" s="78"/>
      <c r="C19" s="78"/>
      <c r="D19" s="78"/>
      <c r="E19" s="14" t="s">
        <v>191</v>
      </c>
      <c r="F19" s="78"/>
      <c r="G19" s="78"/>
    </row>
    <row r="20" spans="2:7" ht="6" customHeight="1">
      <c r="B20" s="13"/>
      <c r="C20" s="13"/>
      <c r="D20" s="13"/>
      <c r="E20" s="13"/>
      <c r="F20" s="13"/>
      <c r="G20" s="13"/>
    </row>
    <row r="21" spans="2:7" ht="15.75" customHeight="1"/>
    <row r="22" spans="2:7" ht="27.75" customHeight="1">
      <c r="B22" s="108" t="s">
        <v>61</v>
      </c>
      <c r="C22" s="58"/>
      <c r="D22" s="29">
        <f>IFERROR(AVERAGE(D5,D9,D13,D17),"")</f>
        <v>1.25</v>
      </c>
    </row>
    <row r="23" spans="2:7" ht="15.75" customHeight="1"/>
    <row r="24" spans="2:7" ht="15.75" customHeight="1"/>
    <row r="25" spans="2:7" ht="15.75" customHeight="1"/>
    <row r="26" spans="2:7" ht="15.75" customHeight="1"/>
    <row r="27" spans="2:7" ht="15.75" customHeight="1"/>
    <row r="28" spans="2:7" ht="15.75" customHeight="1"/>
    <row r="29" spans="2:7" ht="15.75" customHeight="1"/>
    <row r="30" spans="2:7" ht="15.75" customHeight="1"/>
    <row r="31" spans="2:7" ht="15.75" customHeight="1"/>
    <row r="32" spans="2: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B9:B11"/>
    <mergeCell ref="C9:C11"/>
    <mergeCell ref="D9:D11"/>
    <mergeCell ref="F9:F11"/>
    <mergeCell ref="G9:G11"/>
    <mergeCell ref="B22:C22"/>
    <mergeCell ref="F13:F15"/>
    <mergeCell ref="G13:G15"/>
    <mergeCell ref="F17:F19"/>
    <mergeCell ref="G17:G19"/>
    <mergeCell ref="B13:B15"/>
    <mergeCell ref="C13:C15"/>
    <mergeCell ref="D13:D15"/>
    <mergeCell ref="B17:B19"/>
    <mergeCell ref="C17:C19"/>
    <mergeCell ref="D17:D19"/>
    <mergeCell ref="B1:G1"/>
    <mergeCell ref="B2:G2"/>
    <mergeCell ref="B3:G3"/>
    <mergeCell ref="C5:C7"/>
    <mergeCell ref="D5:D7"/>
    <mergeCell ref="F5:F7"/>
    <mergeCell ref="G5:G7"/>
    <mergeCell ref="B5:B7"/>
  </mergeCells>
  <dataValidations count="1">
    <dataValidation type="list" allowBlank="1" sqref="D17" xr:uid="{00000000-0002-0000-0600-000000000000}">
      <formula1>"1,2,3,4,5,6"</formula1>
    </dataValidation>
  </dataValidations>
  <pageMargins left="0.75" right="0.75" top="1" bottom="1"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G1000"/>
  <sheetViews>
    <sheetView showGridLines="0" workbookViewId="0">
      <selection activeCell="D16" sqref="D16"/>
    </sheetView>
  </sheetViews>
  <sheetFormatPr baseColWidth="10" defaultColWidth="14.5" defaultRowHeight="15" customHeight="1"/>
  <cols>
    <col min="1" max="1" width="3" customWidth="1"/>
    <col min="2" max="2" width="28" customWidth="1"/>
    <col min="3" max="3" width="36" customWidth="1"/>
    <col min="4" max="4" width="10" customWidth="1"/>
    <col min="5" max="6" width="34" customWidth="1"/>
    <col min="7" max="7" width="18" customWidth="1"/>
    <col min="8" max="26" width="8.6640625" customWidth="1"/>
  </cols>
  <sheetData>
    <row r="1" spans="2:7" ht="27.75" customHeight="1">
      <c r="B1" s="109" t="s">
        <v>192</v>
      </c>
      <c r="C1" s="57"/>
      <c r="D1" s="57"/>
      <c r="E1" s="57"/>
      <c r="F1" s="57"/>
      <c r="G1" s="58"/>
    </row>
    <row r="2" spans="2:7" ht="21.75" customHeight="1">
      <c r="B2" s="110" t="s">
        <v>193</v>
      </c>
      <c r="C2" s="57"/>
      <c r="D2" s="57"/>
      <c r="E2" s="57"/>
      <c r="F2" s="57"/>
      <c r="G2" s="58"/>
    </row>
    <row r="3" spans="2:7" ht="15.75" customHeight="1">
      <c r="B3" s="75" t="s">
        <v>30</v>
      </c>
      <c r="C3" s="57"/>
      <c r="D3" s="57"/>
      <c r="E3" s="57"/>
      <c r="F3" s="57"/>
      <c r="G3" s="58"/>
    </row>
    <row r="4" spans="2:7" ht="31.5" customHeight="1">
      <c r="B4" s="30" t="s">
        <v>31</v>
      </c>
      <c r="C4" s="30" t="s">
        <v>32</v>
      </c>
      <c r="D4" s="30" t="s">
        <v>33</v>
      </c>
      <c r="E4" s="30" t="s">
        <v>34</v>
      </c>
      <c r="F4" s="30" t="s">
        <v>35</v>
      </c>
      <c r="G4" s="30" t="s">
        <v>36</v>
      </c>
    </row>
    <row r="5" spans="2:7" ht="30" customHeight="1">
      <c r="B5" s="113" t="s">
        <v>194</v>
      </c>
      <c r="C5" s="79" t="s">
        <v>195</v>
      </c>
      <c r="D5" s="111">
        <v>1</v>
      </c>
      <c r="E5" s="10" t="s">
        <v>196</v>
      </c>
      <c r="F5" s="81"/>
      <c r="G5" s="81"/>
    </row>
    <row r="6" spans="2:7" ht="30" customHeight="1">
      <c r="B6" s="77"/>
      <c r="C6" s="77"/>
      <c r="D6" s="77"/>
      <c r="E6" s="10" t="s">
        <v>197</v>
      </c>
      <c r="F6" s="77"/>
      <c r="G6" s="77"/>
    </row>
    <row r="7" spans="2:7" ht="30" customHeight="1">
      <c r="B7" s="78"/>
      <c r="C7" s="78"/>
      <c r="D7" s="78"/>
      <c r="E7" s="10" t="s">
        <v>198</v>
      </c>
      <c r="F7" s="78"/>
      <c r="G7" s="78"/>
    </row>
    <row r="8" spans="2:7" ht="6" customHeight="1">
      <c r="B8" s="13"/>
      <c r="C8" s="13"/>
      <c r="D8" s="13"/>
      <c r="E8" s="13"/>
      <c r="F8" s="13"/>
      <c r="G8" s="13"/>
    </row>
    <row r="9" spans="2:7" ht="30" customHeight="1">
      <c r="B9" s="113" t="s">
        <v>199</v>
      </c>
      <c r="C9" s="83" t="s">
        <v>200</v>
      </c>
      <c r="D9" s="111">
        <v>1</v>
      </c>
      <c r="E9" s="14" t="s">
        <v>201</v>
      </c>
      <c r="F9" s="81"/>
      <c r="G9" s="81"/>
    </row>
    <row r="10" spans="2:7" ht="30" customHeight="1">
      <c r="B10" s="77"/>
      <c r="C10" s="77"/>
      <c r="D10" s="77"/>
      <c r="E10" s="14" t="s">
        <v>202</v>
      </c>
      <c r="F10" s="77"/>
      <c r="G10" s="77"/>
    </row>
    <row r="11" spans="2:7" ht="30" customHeight="1">
      <c r="B11" s="78"/>
      <c r="C11" s="78"/>
      <c r="D11" s="78"/>
      <c r="E11" s="14" t="s">
        <v>203</v>
      </c>
      <c r="F11" s="78"/>
      <c r="G11" s="78"/>
    </row>
    <row r="12" spans="2:7" ht="6" customHeight="1">
      <c r="B12" s="13"/>
      <c r="C12" s="13"/>
      <c r="D12" s="13"/>
      <c r="E12" s="13"/>
      <c r="F12" s="13"/>
      <c r="G12" s="13"/>
    </row>
    <row r="13" spans="2:7" ht="30" customHeight="1">
      <c r="B13" s="113" t="s">
        <v>204</v>
      </c>
      <c r="C13" s="79" t="s">
        <v>205</v>
      </c>
      <c r="D13" s="111">
        <v>1</v>
      </c>
      <c r="E13" s="10" t="s">
        <v>206</v>
      </c>
      <c r="F13" s="81"/>
      <c r="G13" s="81"/>
    </row>
    <row r="14" spans="2:7" ht="30" customHeight="1">
      <c r="B14" s="77"/>
      <c r="C14" s="77"/>
      <c r="D14" s="77"/>
      <c r="E14" s="10" t="s">
        <v>207</v>
      </c>
      <c r="F14" s="77"/>
      <c r="G14" s="77"/>
    </row>
    <row r="15" spans="2:7" ht="30" customHeight="1">
      <c r="B15" s="78"/>
      <c r="C15" s="78"/>
      <c r="D15" s="78"/>
      <c r="E15" s="10" t="s">
        <v>208</v>
      </c>
      <c r="F15" s="78"/>
      <c r="G15" s="78"/>
    </row>
    <row r="16" spans="2:7" ht="6" customHeight="1">
      <c r="B16" s="13"/>
      <c r="C16" s="13"/>
      <c r="D16" s="13"/>
      <c r="E16" s="13"/>
      <c r="F16" s="13"/>
      <c r="G16" s="13"/>
    </row>
    <row r="18" spans="2:4" ht="27.75" customHeight="1">
      <c r="B18" s="112" t="s">
        <v>61</v>
      </c>
      <c r="C18" s="58"/>
      <c r="D18" s="31">
        <f>IFERROR(AVERAGE(D5,D9,D13),"")</f>
        <v>1</v>
      </c>
    </row>
    <row r="21" spans="2:4" ht="15.75" customHeight="1"/>
    <row r="22" spans="2:4" ht="15.75" customHeight="1"/>
    <row r="23" spans="2:4" ht="15.75" customHeight="1"/>
    <row r="24" spans="2:4" ht="15.75" customHeight="1"/>
    <row r="25" spans="2:4" ht="15.75" customHeight="1"/>
    <row r="26" spans="2:4" ht="15.75" customHeight="1"/>
    <row r="27" spans="2:4" ht="15.75" customHeight="1"/>
    <row r="28" spans="2:4" ht="15.75" customHeight="1"/>
    <row r="29" spans="2:4" ht="15.75" customHeight="1"/>
    <row r="30" spans="2:4" ht="15.75" customHeight="1"/>
    <row r="31" spans="2:4" ht="15.75" customHeight="1"/>
    <row r="32" spans="2: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B9:B11"/>
    <mergeCell ref="C9:C11"/>
    <mergeCell ref="D9:D11"/>
    <mergeCell ref="F9:F11"/>
    <mergeCell ref="G9:G11"/>
    <mergeCell ref="C13:C15"/>
    <mergeCell ref="D13:D15"/>
    <mergeCell ref="B18:C18"/>
    <mergeCell ref="F13:F15"/>
    <mergeCell ref="G13:G15"/>
    <mergeCell ref="B13:B15"/>
    <mergeCell ref="B1:G1"/>
    <mergeCell ref="B2:G2"/>
    <mergeCell ref="B3:G3"/>
    <mergeCell ref="C5:C7"/>
    <mergeCell ref="D5:D7"/>
    <mergeCell ref="F5:F7"/>
    <mergeCell ref="G5:G7"/>
    <mergeCell ref="B5:B7"/>
  </mergeCells>
  <dataValidations count="1">
    <dataValidation type="list" allowBlank="1" sqref="D13" xr:uid="{00000000-0002-0000-0700-000000000000}">
      <formula1>"1,2,3,4,5,6"</formula1>
    </dataValidation>
  </dataValidations>
  <pageMargins left="0.75" right="0.75" top="1" bottom="1"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G1000"/>
  <sheetViews>
    <sheetView showGridLines="0" workbookViewId="0">
      <selection activeCell="D16" sqref="D16"/>
    </sheetView>
  </sheetViews>
  <sheetFormatPr baseColWidth="10" defaultColWidth="14.5" defaultRowHeight="15" customHeight="1"/>
  <cols>
    <col min="1" max="1" width="3" customWidth="1"/>
    <col min="2" max="2" width="28" customWidth="1"/>
    <col min="3" max="3" width="36" customWidth="1"/>
    <col min="4" max="4" width="10" customWidth="1"/>
    <col min="5" max="6" width="34" customWidth="1"/>
    <col min="7" max="7" width="18" customWidth="1"/>
    <col min="8" max="26" width="8.6640625" customWidth="1"/>
  </cols>
  <sheetData>
    <row r="1" spans="2:7" ht="27.75" customHeight="1">
      <c r="B1" s="114" t="s">
        <v>209</v>
      </c>
      <c r="C1" s="57"/>
      <c r="D1" s="57"/>
      <c r="E1" s="57"/>
      <c r="F1" s="57"/>
      <c r="G1" s="58"/>
    </row>
    <row r="2" spans="2:7" ht="21.75" customHeight="1">
      <c r="B2" s="115" t="s">
        <v>210</v>
      </c>
      <c r="C2" s="57"/>
      <c r="D2" s="57"/>
      <c r="E2" s="57"/>
      <c r="F2" s="57"/>
      <c r="G2" s="58"/>
    </row>
    <row r="3" spans="2:7" ht="15.75" customHeight="1">
      <c r="B3" s="75" t="s">
        <v>30</v>
      </c>
      <c r="C3" s="57"/>
      <c r="D3" s="57"/>
      <c r="E3" s="57"/>
      <c r="F3" s="57"/>
      <c r="G3" s="58"/>
    </row>
    <row r="4" spans="2:7" ht="31.5" customHeight="1">
      <c r="B4" s="32" t="s">
        <v>31</v>
      </c>
      <c r="C4" s="32" t="s">
        <v>32</v>
      </c>
      <c r="D4" s="32" t="s">
        <v>33</v>
      </c>
      <c r="E4" s="32" t="s">
        <v>34</v>
      </c>
      <c r="F4" s="32" t="s">
        <v>35</v>
      </c>
      <c r="G4" s="32" t="s">
        <v>36</v>
      </c>
    </row>
    <row r="5" spans="2:7" ht="30" customHeight="1">
      <c r="B5" s="118" t="s">
        <v>211</v>
      </c>
      <c r="C5" s="79" t="s">
        <v>212</v>
      </c>
      <c r="D5" s="116">
        <v>4</v>
      </c>
      <c r="E5" s="10" t="s">
        <v>213</v>
      </c>
      <c r="F5" s="81"/>
      <c r="G5" s="81"/>
    </row>
    <row r="6" spans="2:7" ht="30" customHeight="1">
      <c r="B6" s="77"/>
      <c r="C6" s="77"/>
      <c r="D6" s="77"/>
      <c r="E6" s="10" t="s">
        <v>214</v>
      </c>
      <c r="F6" s="77"/>
      <c r="G6" s="77"/>
    </row>
    <row r="7" spans="2:7" ht="30" customHeight="1">
      <c r="B7" s="78"/>
      <c r="C7" s="78"/>
      <c r="D7" s="78"/>
      <c r="E7" s="10" t="s">
        <v>215</v>
      </c>
      <c r="F7" s="78"/>
      <c r="G7" s="78"/>
    </row>
    <row r="8" spans="2:7" ht="6" customHeight="1">
      <c r="B8" s="13"/>
      <c r="C8" s="13"/>
      <c r="D8" s="13"/>
      <c r="E8" s="13"/>
      <c r="F8" s="13"/>
      <c r="G8" s="13"/>
    </row>
    <row r="9" spans="2:7" ht="30" customHeight="1">
      <c r="B9" s="118" t="s">
        <v>216</v>
      </c>
      <c r="C9" s="83" t="s">
        <v>217</v>
      </c>
      <c r="D9" s="116">
        <v>2</v>
      </c>
      <c r="E9" s="14" t="s">
        <v>218</v>
      </c>
      <c r="F9" s="81"/>
      <c r="G9" s="81"/>
    </row>
    <row r="10" spans="2:7" ht="30" customHeight="1">
      <c r="B10" s="77"/>
      <c r="C10" s="77"/>
      <c r="D10" s="77"/>
      <c r="E10" s="14" t="s">
        <v>219</v>
      </c>
      <c r="F10" s="77"/>
      <c r="G10" s="77"/>
    </row>
    <row r="11" spans="2:7" ht="30" customHeight="1">
      <c r="B11" s="78"/>
      <c r="C11" s="78"/>
      <c r="D11" s="78"/>
      <c r="E11" s="14" t="s">
        <v>220</v>
      </c>
      <c r="F11" s="78"/>
      <c r="G11" s="78"/>
    </row>
    <row r="12" spans="2:7" ht="6" customHeight="1">
      <c r="B12" s="13"/>
      <c r="C12" s="13"/>
      <c r="D12" s="13"/>
      <c r="E12" s="13"/>
      <c r="F12" s="13"/>
      <c r="G12" s="13"/>
    </row>
    <row r="13" spans="2:7" ht="30" customHeight="1">
      <c r="B13" s="118" t="s">
        <v>221</v>
      </c>
      <c r="C13" s="79" t="s">
        <v>222</v>
      </c>
      <c r="D13" s="116">
        <v>3</v>
      </c>
      <c r="E13" s="10" t="s">
        <v>223</v>
      </c>
      <c r="F13" s="81"/>
      <c r="G13" s="81"/>
    </row>
    <row r="14" spans="2:7" ht="30" customHeight="1">
      <c r="B14" s="77"/>
      <c r="C14" s="77"/>
      <c r="D14" s="77"/>
      <c r="E14" s="10" t="s">
        <v>224</v>
      </c>
      <c r="F14" s="77"/>
      <c r="G14" s="77"/>
    </row>
    <row r="15" spans="2:7" ht="30" customHeight="1">
      <c r="B15" s="78"/>
      <c r="C15" s="78"/>
      <c r="D15" s="78"/>
      <c r="E15" s="10" t="s">
        <v>225</v>
      </c>
      <c r="F15" s="78"/>
      <c r="G15" s="78"/>
    </row>
    <row r="16" spans="2:7" ht="6" customHeight="1">
      <c r="B16" s="13"/>
      <c r="C16" s="13"/>
      <c r="D16" s="13"/>
      <c r="E16" s="13"/>
      <c r="F16" s="13"/>
      <c r="G16" s="13"/>
    </row>
    <row r="18" spans="2:4" ht="27.75" customHeight="1">
      <c r="B18" s="117" t="s">
        <v>61</v>
      </c>
      <c r="C18" s="58"/>
      <c r="D18" s="33">
        <f>IFERROR(AVERAGE(D5,D9,D13),"")</f>
        <v>3</v>
      </c>
    </row>
    <row r="21" spans="2:4" ht="15.75" customHeight="1"/>
    <row r="22" spans="2:4" ht="15.75" customHeight="1"/>
    <row r="23" spans="2:4" ht="15.75" customHeight="1"/>
    <row r="24" spans="2:4" ht="15.75" customHeight="1"/>
    <row r="25" spans="2:4" ht="15.75" customHeight="1"/>
    <row r="26" spans="2:4" ht="15.75" customHeight="1"/>
    <row r="27" spans="2:4" ht="15.75" customHeight="1"/>
    <row r="28" spans="2:4" ht="15.75" customHeight="1"/>
    <row r="29" spans="2:4" ht="15.75" customHeight="1"/>
    <row r="30" spans="2:4" ht="15.75" customHeight="1"/>
    <row r="31" spans="2:4" ht="15.75" customHeight="1"/>
    <row r="32" spans="2: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B9:B11"/>
    <mergeCell ref="C9:C11"/>
    <mergeCell ref="D9:D11"/>
    <mergeCell ref="F9:F11"/>
    <mergeCell ref="G9:G11"/>
    <mergeCell ref="C13:C15"/>
    <mergeCell ref="D13:D15"/>
    <mergeCell ref="B18:C18"/>
    <mergeCell ref="F13:F15"/>
    <mergeCell ref="G13:G15"/>
    <mergeCell ref="B13:B15"/>
    <mergeCell ref="B1:G1"/>
    <mergeCell ref="B2:G2"/>
    <mergeCell ref="B3:G3"/>
    <mergeCell ref="C5:C7"/>
    <mergeCell ref="D5:D7"/>
    <mergeCell ref="F5:F7"/>
    <mergeCell ref="G5:G7"/>
    <mergeCell ref="B5:B7"/>
  </mergeCells>
  <dataValidations count="1">
    <dataValidation type="list" allowBlank="1" sqref="D13" xr:uid="{00000000-0002-0000-0800-000000000000}">
      <formula1>"1,2,3,4,5,6"</formula1>
    </dataValidation>
  </dataValidations>
  <pageMargins left="0.75" right="0.75" top="1" bottom="1"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F1000"/>
  <sheetViews>
    <sheetView showGridLines="0" tabSelected="1" workbookViewId="0">
      <selection activeCell="F26" sqref="F26"/>
    </sheetView>
  </sheetViews>
  <sheetFormatPr baseColWidth="10" defaultColWidth="14.5" defaultRowHeight="15" customHeight="1"/>
  <cols>
    <col min="1" max="1" width="3" customWidth="1"/>
    <col min="2" max="2" width="32" customWidth="1"/>
    <col min="3" max="3" width="12" customWidth="1"/>
    <col min="4" max="4" width="24" customWidth="1"/>
    <col min="5" max="5" width="32" customWidth="1"/>
    <col min="6" max="6" width="34" customWidth="1"/>
    <col min="7" max="26" width="8.6640625" customWidth="1"/>
  </cols>
  <sheetData>
    <row r="1" spans="2:6" ht="31.5" customHeight="1">
      <c r="B1" s="119" t="s">
        <v>226</v>
      </c>
      <c r="C1" s="57"/>
      <c r="D1" s="57"/>
      <c r="E1" s="57"/>
      <c r="F1" s="58"/>
    </row>
    <row r="2" spans="2:6" ht="18" customHeight="1">
      <c r="B2" s="120" t="s">
        <v>227</v>
      </c>
      <c r="C2" s="57"/>
      <c r="D2" s="57"/>
      <c r="E2" s="57"/>
      <c r="F2" s="58"/>
    </row>
    <row r="4" spans="2:6" ht="30" customHeight="1">
      <c r="B4" s="8" t="s">
        <v>228</v>
      </c>
      <c r="C4" s="8" t="s">
        <v>229</v>
      </c>
      <c r="D4" s="8" t="s">
        <v>230</v>
      </c>
      <c r="E4" s="8" t="s">
        <v>231</v>
      </c>
      <c r="F4" s="8" t="s">
        <v>232</v>
      </c>
    </row>
    <row r="5" spans="2:6" ht="30" customHeight="1">
      <c r="B5" s="34" t="s">
        <v>233</v>
      </c>
      <c r="C5" s="35">
        <f>IFERROR('C1 – Estrategia de gestión '!D18,"")</f>
        <v>4.333333333333333</v>
      </c>
      <c r="D5" s="36" t="str">
        <f>IFERROR(IF('C1 – Estrategia de gestión '!D18="","—",IF('C1 – Estrategia de gestión '!D18&lt;1.5,"No iniciado",IF('C1 – Estrategia de gestión '!D18&lt;2.5,"Conceptual",IF('C1 – Estrategia de gestión '!D18&lt;3.5,"En desarrollo",IF('C1 – Estrategia de gestión '!D18&lt;4.5,"Definido",IF('C1 – Estrategia de gestión '!D18&lt;5.5,"Logrado","Mejorado")))))),"—")</f>
        <v>Definido</v>
      </c>
      <c r="E5" s="37" t="s">
        <v>234</v>
      </c>
      <c r="F5" s="38" t="s">
        <v>235</v>
      </c>
    </row>
    <row r="6" spans="2:6" ht="30" customHeight="1">
      <c r="B6" s="39" t="s">
        <v>236</v>
      </c>
      <c r="C6" s="40">
        <f>IFERROR('C2 – Programa y financiamie'!D18,"")</f>
        <v>2.3333333333333335</v>
      </c>
      <c r="D6" s="36" t="str">
        <f>IFERROR(IF('C2 – Programa y financiamie'!D18="","—",IF('C2 – Programa y financiamie'!D18&lt;1.5,"No iniciado",IF('C2 – Programa y financiamie'!D18&lt;2.5,"Conceptual",IF('C2 – Programa y financiamie'!D18&lt;3.5,"En desarrollo",IF('C2 – Programa y financiamie'!D18&lt;4.5,"Definido",IF('C2 – Programa y financiamie'!D18&lt;5.5,"Logrado","Mejorado")))))),"—")</f>
        <v>Conceptual</v>
      </c>
      <c r="E6" s="37" t="s">
        <v>237</v>
      </c>
      <c r="F6" s="38"/>
    </row>
    <row r="7" spans="2:6" ht="30" customHeight="1">
      <c r="B7" s="41" t="s">
        <v>238</v>
      </c>
      <c r="C7" s="42">
        <f>IFERROR('C3 – Gobernanza de datos'!D22,"")</f>
        <v>1.75</v>
      </c>
      <c r="D7" s="36" t="str">
        <f>IFERROR(IF('C3 – Gobernanza de datos'!D22="","—",IF('C3 – Gobernanza de datos'!D22&lt;1.5,"No iniciado",IF('C3 – Gobernanza de datos'!D22&lt;2.5,"Conceptual",IF('C3 – Gobernanza de datos'!D22&lt;3.5,"En desarrollo",IF('C3 – Gobernanza de datos'!D22&lt;4.5,"Definido",IF('C3 – Gobernanza de datos'!D22&lt;5.5,"Logrado","Mejorado")))))),"—")</f>
        <v>Conceptual</v>
      </c>
      <c r="E7" s="37" t="s">
        <v>239</v>
      </c>
      <c r="F7" s="38"/>
    </row>
    <row r="8" spans="2:6" ht="30" customHeight="1">
      <c r="B8" s="43" t="s">
        <v>240</v>
      </c>
      <c r="C8" s="44">
        <f>IFERROR('C4 – Arquitectura de datos'!D18,"")</f>
        <v>2</v>
      </c>
      <c r="D8" s="36" t="str">
        <f>IFERROR(IF('C4 – Arquitectura de datos'!D18="","—",IF('C4 – Arquitectura de datos'!D18&lt;1.5,"No iniciado",IF('C4 – Arquitectura de datos'!D18&lt;2.5,"Conceptual",IF('C4 – Arquitectura de datos'!D18&lt;3.5,"En desarrollo",IF('C4 – Arquitectura de datos'!D18&lt;4.5,"Definido",IF('C4 – Arquitectura de datos'!D18&lt;5.5,"Logrado","Mejorado")))))),"—")</f>
        <v>Conceptual</v>
      </c>
      <c r="E8" s="37"/>
      <c r="F8" s="38"/>
    </row>
    <row r="9" spans="2:6" ht="30" customHeight="1">
      <c r="B9" s="45" t="s">
        <v>241</v>
      </c>
      <c r="C9" s="46">
        <f>IFERROR('C5 – Calidad de datos'!D22,"")</f>
        <v>2</v>
      </c>
      <c r="D9" s="36" t="str">
        <f>IFERROR(IF('C5 – Calidad de datos'!D22="","—",IF('C5 – Calidad de datos'!D22&lt;1.5,"No iniciado",IF('C5 – Calidad de datos'!D22&lt;2.5,"Conceptual",IF('C5 – Calidad de datos'!D22&lt;3.5,"En desarrollo",IF('C5 – Calidad de datos'!D22&lt;4.5,"Definido",IF('C5 – Calidad de datos'!D22&lt;5.5,"Logrado","Mejorado")))))),"—")</f>
        <v>Conceptual</v>
      </c>
      <c r="E9" s="37"/>
      <c r="F9" s="38"/>
    </row>
    <row r="10" spans="2:6" ht="30" customHeight="1">
      <c r="B10" s="47" t="s">
        <v>242</v>
      </c>
      <c r="C10" s="48">
        <f>IFERROR('C6 – Control y riesgo de da'!D22,"")</f>
        <v>1.25</v>
      </c>
      <c r="D10" s="36" t="str">
        <f>IFERROR(IF('C6 – Control y riesgo de da'!D22="","—",IF('C6 – Control y riesgo de da'!D22&lt;1.5,"No iniciado",IF('C6 – Control y riesgo de da'!D22&lt;2.5,"Conceptual",IF('C6 – Control y riesgo de da'!D22&lt;3.5,"En desarrollo",IF('C6 – Control y riesgo de da'!D22&lt;4.5,"Definido",IF('C6 – Control y riesgo de da'!D22&lt;5.5,"Logrado","Mejorado")))))),"—")</f>
        <v>No iniciado</v>
      </c>
      <c r="E10" s="37"/>
      <c r="F10" s="38"/>
    </row>
    <row r="11" spans="2:6" ht="30" customHeight="1">
      <c r="B11" s="49" t="s">
        <v>243</v>
      </c>
      <c r="C11" s="50">
        <f>IFERROR('C7 – Metadatos'!D18,"")</f>
        <v>1</v>
      </c>
      <c r="D11" s="36" t="str">
        <f>IFERROR(IF('C7 – Metadatos'!D18="","—",IF('C7 – Metadatos'!D18&lt;1.5,"No iniciado",IF('C7 – Metadatos'!D18&lt;2.5,"Conceptual",IF('C7 – Metadatos'!D18&lt;3.5,"En desarrollo",IF('C7 – Metadatos'!D18&lt;4.5,"Definido",IF('C7 – Metadatos'!D18&lt;5.5,"Logrado","Mejorado")))))),"—")</f>
        <v>No iniciado</v>
      </c>
      <c r="E11" s="37"/>
      <c r="F11" s="38"/>
    </row>
    <row r="12" spans="2:6" ht="30" customHeight="1">
      <c r="B12" s="51" t="s">
        <v>244</v>
      </c>
      <c r="C12" s="52">
        <f>IFERROR('C8 – Analítica e inteligenc'!D18,"")</f>
        <v>3</v>
      </c>
      <c r="D12" s="36" t="str">
        <f>IFERROR(IF('C8 – Analítica e inteligenc'!D18="","—",IF('C8 – Analítica e inteligenc'!D18&lt;1.5,"No iniciado",IF('C8 – Analítica e inteligenc'!D18&lt;2.5,"Conceptual",IF('C8 – Analítica e inteligenc'!D18&lt;3.5,"En desarrollo",IF('C8 – Analítica e inteligenc'!D18&lt;4.5,"Definido",IF('C8 – Analítica e inteligenc'!D18&lt;5.5,"Logrado","Mejorado")))))),"—")</f>
        <v>En desarrollo</v>
      </c>
      <c r="E12" s="37"/>
      <c r="F12" s="38"/>
    </row>
    <row r="14" spans="2:6" ht="31.5" customHeight="1">
      <c r="B14" s="121" t="s">
        <v>245</v>
      </c>
      <c r="C14" s="58"/>
      <c r="D14" s="53">
        <f>IFERROR(AVERAGE(C5,C6,C7,C8,C9,C10,C11,C12),"")</f>
        <v>2.208333333333333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F1"/>
    <mergeCell ref="B2:F2"/>
    <mergeCell ref="B14:C14"/>
  </mergeCells>
  <pageMargins left="0.75" right="0.75" top="1" bottom="1" header="0" footer="0"/>
  <pageSetup paperSize="9"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I1000"/>
  <sheetViews>
    <sheetView showGridLines="0" workbookViewId="0"/>
  </sheetViews>
  <sheetFormatPr baseColWidth="10" defaultColWidth="14.5" defaultRowHeight="15" customHeight="1"/>
  <cols>
    <col min="1" max="1" width="3" customWidth="1"/>
    <col min="2" max="2" width="14" customWidth="1"/>
    <col min="3" max="3" width="24" customWidth="1"/>
    <col min="4" max="4" width="28" customWidth="1"/>
    <col min="5" max="5" width="20" customWidth="1"/>
    <col min="6" max="6" width="16" customWidth="1"/>
    <col min="7" max="8" width="14" customWidth="1"/>
    <col min="9" max="9" width="3" customWidth="1"/>
    <col min="10" max="26" width="8.6640625" customWidth="1"/>
  </cols>
  <sheetData>
    <row r="1" spans="2:9" ht="27.75" customHeight="1">
      <c r="B1" s="122" t="s">
        <v>246</v>
      </c>
      <c r="C1" s="57"/>
      <c r="D1" s="57"/>
      <c r="E1" s="57"/>
      <c r="F1" s="57"/>
      <c r="G1" s="57"/>
      <c r="H1" s="58"/>
    </row>
    <row r="2" spans="2:9" ht="18" customHeight="1">
      <c r="B2" s="120" t="s">
        <v>247</v>
      </c>
      <c r="C2" s="57"/>
      <c r="D2" s="57"/>
      <c r="E2" s="57"/>
      <c r="F2" s="57"/>
      <c r="G2" s="57"/>
      <c r="H2" s="58"/>
    </row>
    <row r="4" spans="2:9" ht="30" customHeight="1">
      <c r="B4" s="8" t="s">
        <v>248</v>
      </c>
      <c r="C4" s="8" t="s">
        <v>249</v>
      </c>
      <c r="D4" s="8" t="s">
        <v>250</v>
      </c>
      <c r="E4" s="8" t="s">
        <v>251</v>
      </c>
      <c r="F4" s="8" t="s">
        <v>252</v>
      </c>
      <c r="G4" s="8" t="s">
        <v>253</v>
      </c>
      <c r="H4" s="8" t="s">
        <v>254</v>
      </c>
      <c r="I4" s="8" t="s">
        <v>255</v>
      </c>
    </row>
    <row r="5" spans="2:9" ht="21.75" customHeight="1">
      <c r="B5" s="54"/>
      <c r="C5" s="54"/>
      <c r="D5" s="54"/>
      <c r="E5" s="54"/>
      <c r="F5" s="54"/>
      <c r="G5" s="54"/>
      <c r="H5" s="54"/>
      <c r="I5" s="54"/>
    </row>
    <row r="6" spans="2:9" ht="21.75" customHeight="1">
      <c r="B6" s="55"/>
      <c r="C6" s="55"/>
      <c r="D6" s="55"/>
      <c r="E6" s="55"/>
      <c r="F6" s="55"/>
      <c r="G6" s="55"/>
      <c r="H6" s="55"/>
      <c r="I6" s="55"/>
    </row>
    <row r="7" spans="2:9" ht="21.75" customHeight="1">
      <c r="B7" s="54"/>
      <c r="C7" s="54"/>
      <c r="D7" s="54"/>
      <c r="E7" s="54"/>
      <c r="F7" s="54"/>
      <c r="G7" s="54"/>
      <c r="H7" s="54"/>
      <c r="I7" s="54"/>
    </row>
    <row r="8" spans="2:9" ht="21.75" customHeight="1">
      <c r="B8" s="55"/>
      <c r="C8" s="55"/>
      <c r="D8" s="55"/>
      <c r="E8" s="55"/>
      <c r="F8" s="55"/>
      <c r="G8" s="55"/>
      <c r="H8" s="55"/>
      <c r="I8" s="55"/>
    </row>
    <row r="9" spans="2:9" ht="21.75" customHeight="1">
      <c r="B9" s="54"/>
      <c r="C9" s="54"/>
      <c r="D9" s="54"/>
      <c r="E9" s="54"/>
      <c r="F9" s="54"/>
      <c r="G9" s="54"/>
      <c r="H9" s="54"/>
      <c r="I9" s="54"/>
    </row>
    <row r="10" spans="2:9" ht="21.75" customHeight="1">
      <c r="B10" s="55"/>
      <c r="C10" s="55"/>
      <c r="D10" s="55"/>
      <c r="E10" s="55"/>
      <c r="F10" s="55"/>
      <c r="G10" s="55"/>
      <c r="H10" s="55"/>
      <c r="I10" s="55"/>
    </row>
    <row r="11" spans="2:9" ht="21.75" customHeight="1">
      <c r="B11" s="54"/>
      <c r="C11" s="54"/>
      <c r="D11" s="54"/>
      <c r="E11" s="54"/>
      <c r="F11" s="54"/>
      <c r="G11" s="54"/>
      <c r="H11" s="54"/>
      <c r="I11" s="54"/>
    </row>
    <row r="12" spans="2:9" ht="21.75" customHeight="1">
      <c r="B12" s="55"/>
      <c r="C12" s="55"/>
      <c r="D12" s="55"/>
      <c r="E12" s="55"/>
      <c r="F12" s="55"/>
      <c r="G12" s="55"/>
      <c r="H12" s="55"/>
      <c r="I12" s="55"/>
    </row>
    <row r="13" spans="2:9" ht="21.75" customHeight="1">
      <c r="B13" s="54"/>
      <c r="C13" s="54"/>
      <c r="D13" s="54"/>
      <c r="E13" s="54"/>
      <c r="F13" s="54"/>
      <c r="G13" s="54"/>
      <c r="H13" s="54"/>
      <c r="I13" s="54"/>
    </row>
    <row r="14" spans="2:9" ht="21.75" customHeight="1">
      <c r="B14" s="55"/>
      <c r="C14" s="55"/>
      <c r="D14" s="55"/>
      <c r="E14" s="55"/>
      <c r="F14" s="55"/>
      <c r="G14" s="55"/>
      <c r="H14" s="55"/>
      <c r="I14" s="55"/>
    </row>
    <row r="15" spans="2:9" ht="21.75" customHeight="1">
      <c r="B15" s="54"/>
      <c r="C15" s="54"/>
      <c r="D15" s="54"/>
      <c r="E15" s="54"/>
      <c r="F15" s="54"/>
      <c r="G15" s="54"/>
      <c r="H15" s="54"/>
      <c r="I15" s="54"/>
    </row>
    <row r="16" spans="2:9" ht="21.75" customHeight="1">
      <c r="B16" s="55"/>
      <c r="C16" s="55"/>
      <c r="D16" s="55"/>
      <c r="E16" s="55"/>
      <c r="F16" s="55"/>
      <c r="G16" s="55"/>
      <c r="H16" s="55"/>
      <c r="I16" s="55"/>
    </row>
    <row r="17" spans="2:9" ht="21.75" customHeight="1">
      <c r="B17" s="54"/>
      <c r="C17" s="54"/>
      <c r="D17" s="54"/>
      <c r="E17" s="54"/>
      <c r="F17" s="54"/>
      <c r="G17" s="54"/>
      <c r="H17" s="54"/>
      <c r="I17" s="54"/>
    </row>
    <row r="18" spans="2:9" ht="21.75" customHeight="1">
      <c r="B18" s="55"/>
      <c r="C18" s="55"/>
      <c r="D18" s="55"/>
      <c r="E18" s="55"/>
      <c r="F18" s="55"/>
      <c r="G18" s="55"/>
      <c r="H18" s="55"/>
      <c r="I18" s="55"/>
    </row>
    <row r="19" spans="2:9" ht="21.75" customHeight="1">
      <c r="B19" s="54"/>
      <c r="C19" s="54"/>
      <c r="D19" s="54"/>
      <c r="E19" s="54"/>
      <c r="F19" s="54"/>
      <c r="G19" s="54"/>
      <c r="H19" s="54"/>
      <c r="I19" s="54"/>
    </row>
    <row r="20" spans="2:9" ht="21.75" customHeight="1">
      <c r="B20" s="55"/>
      <c r="C20" s="55"/>
      <c r="D20" s="55"/>
      <c r="E20" s="55"/>
      <c r="F20" s="55"/>
      <c r="G20" s="55"/>
      <c r="H20" s="55"/>
      <c r="I20" s="55"/>
    </row>
    <row r="21" spans="2:9" ht="21.75" customHeight="1">
      <c r="B21" s="54"/>
      <c r="C21" s="54"/>
      <c r="D21" s="54"/>
      <c r="E21" s="54"/>
      <c r="F21" s="54"/>
      <c r="G21" s="54"/>
      <c r="H21" s="54"/>
      <c r="I21" s="54"/>
    </row>
    <row r="22" spans="2:9" ht="21.75" customHeight="1">
      <c r="B22" s="55"/>
      <c r="C22" s="55"/>
      <c r="D22" s="55"/>
      <c r="E22" s="55"/>
      <c r="F22" s="55"/>
      <c r="G22" s="55"/>
      <c r="H22" s="55"/>
      <c r="I22" s="55"/>
    </row>
    <row r="23" spans="2:9" ht="21.75" customHeight="1">
      <c r="B23" s="54"/>
      <c r="C23" s="54"/>
      <c r="D23" s="54"/>
      <c r="E23" s="54"/>
      <c r="F23" s="54"/>
      <c r="G23" s="54"/>
      <c r="H23" s="54"/>
      <c r="I23" s="54"/>
    </row>
    <row r="24" spans="2:9" ht="21.75" customHeight="1">
      <c r="B24" s="55"/>
      <c r="C24" s="55"/>
      <c r="D24" s="55"/>
      <c r="E24" s="55"/>
      <c r="F24" s="55"/>
      <c r="G24" s="55"/>
      <c r="H24" s="55"/>
      <c r="I24" s="55"/>
    </row>
    <row r="25" spans="2:9" ht="21.75" customHeight="1">
      <c r="B25" s="54"/>
      <c r="C25" s="54"/>
      <c r="D25" s="54"/>
      <c r="E25" s="54"/>
      <c r="F25" s="54"/>
      <c r="G25" s="54"/>
      <c r="H25" s="54"/>
      <c r="I25" s="54"/>
    </row>
    <row r="26" spans="2:9" ht="21.75" customHeight="1">
      <c r="B26" s="55"/>
      <c r="C26" s="55"/>
      <c r="D26" s="55"/>
      <c r="E26" s="55"/>
      <c r="F26" s="55"/>
      <c r="G26" s="55"/>
      <c r="H26" s="55"/>
      <c r="I26" s="55"/>
    </row>
    <row r="27" spans="2:9" ht="21.75" customHeight="1">
      <c r="B27" s="54"/>
      <c r="C27" s="54"/>
      <c r="D27" s="54"/>
      <c r="E27" s="54"/>
      <c r="F27" s="54"/>
      <c r="G27" s="54"/>
      <c r="H27" s="54"/>
      <c r="I27" s="54"/>
    </row>
    <row r="28" spans="2:9" ht="21.75" customHeight="1">
      <c r="B28" s="55"/>
      <c r="C28" s="55"/>
      <c r="D28" s="55"/>
      <c r="E28" s="55"/>
      <c r="F28" s="55"/>
      <c r="G28" s="55"/>
      <c r="H28" s="55"/>
      <c r="I28" s="55"/>
    </row>
    <row r="29" spans="2:9" ht="21.75" customHeight="1">
      <c r="B29" s="54"/>
      <c r="C29" s="54"/>
      <c r="D29" s="54"/>
      <c r="E29" s="54"/>
      <c r="F29" s="54"/>
      <c r="G29" s="54"/>
      <c r="H29" s="54"/>
      <c r="I29" s="54"/>
    </row>
    <row r="30" spans="2:9" ht="21.75" customHeight="1">
      <c r="B30" s="55"/>
      <c r="C30" s="55"/>
      <c r="D30" s="55"/>
      <c r="E30" s="55"/>
      <c r="F30" s="55"/>
      <c r="G30" s="55"/>
      <c r="H30" s="55"/>
      <c r="I30" s="55"/>
    </row>
    <row r="31" spans="2:9" ht="21.75" customHeight="1">
      <c r="B31" s="54"/>
      <c r="C31" s="54"/>
      <c r="D31" s="54"/>
      <c r="E31" s="54"/>
      <c r="F31" s="54"/>
      <c r="G31" s="54"/>
      <c r="H31" s="54"/>
      <c r="I31" s="54"/>
    </row>
    <row r="32" spans="2:9" ht="21.75" customHeight="1">
      <c r="B32" s="55"/>
      <c r="C32" s="55"/>
      <c r="D32" s="55"/>
      <c r="E32" s="55"/>
      <c r="F32" s="55"/>
      <c r="G32" s="55"/>
      <c r="H32" s="55"/>
      <c r="I32" s="55"/>
    </row>
    <row r="33" spans="2:9" ht="21.75" customHeight="1">
      <c r="B33" s="54"/>
      <c r="C33" s="54"/>
      <c r="D33" s="54"/>
      <c r="E33" s="54"/>
      <c r="F33" s="54"/>
      <c r="G33" s="54"/>
      <c r="H33" s="54"/>
      <c r="I33" s="54"/>
    </row>
    <row r="34" spans="2:9" ht="21.75" customHeight="1">
      <c r="B34" s="55"/>
      <c r="C34" s="55"/>
      <c r="D34" s="55"/>
      <c r="E34" s="55"/>
      <c r="F34" s="55"/>
      <c r="G34" s="55"/>
      <c r="H34" s="55"/>
      <c r="I34" s="55"/>
    </row>
    <row r="35" spans="2:9" ht="15.75" customHeight="1"/>
    <row r="36" spans="2:9" ht="15.75" customHeight="1"/>
    <row r="37" spans="2:9" ht="15.75" customHeight="1"/>
    <row r="38" spans="2:9" ht="15.75" customHeight="1"/>
    <row r="39" spans="2:9" ht="15.75" customHeight="1"/>
    <row r="40" spans="2:9" ht="15.75" customHeight="1"/>
    <row r="41" spans="2:9" ht="15.75" customHeight="1"/>
    <row r="42" spans="2:9" ht="15.75" customHeight="1"/>
    <row r="43" spans="2:9" ht="15.75" customHeight="1"/>
    <row r="44" spans="2:9" ht="15.75" customHeight="1"/>
    <row r="45" spans="2:9" ht="15.75" customHeight="1"/>
    <row r="46" spans="2:9" ht="15.75" customHeight="1"/>
    <row r="47" spans="2:9" ht="15.75" customHeight="1"/>
    <row r="48" spans="2:9"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H1"/>
    <mergeCell ref="B2:H2"/>
  </mergeCells>
  <dataValidations count="3">
    <dataValidation type="list" allowBlank="1" sqref="F5:F34" xr:uid="{00000000-0002-0000-0A00-000000000000}">
      <formula1>"Alta,Media,Baja"</formula1>
    </dataValidation>
    <dataValidation type="list" allowBlank="1" sqref="H5:H34" xr:uid="{00000000-0002-0000-0A00-000001000000}">
      <formula1>"Pendiente,En progreso,Completado,Cancelado"</formula1>
    </dataValidation>
    <dataValidation type="list" allowBlank="1" sqref="G5:G34" xr:uid="{00000000-0002-0000-0A00-000002000000}">
      <formula1>"1 mes,3 meses,6 meses,12 meses,Más de 1 año"</formula1>
    </dataValidation>
  </dataValidations>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11</vt:i4>
      </vt:variant>
    </vt:vector>
  </HeadingPairs>
  <TitlesOfParts>
    <vt:vector size="11" baseType="lpstr">
      <vt:lpstr>Portada</vt:lpstr>
      <vt:lpstr>C1 – Estrategia de gestión </vt:lpstr>
      <vt:lpstr>C2 – Programa y financiamie</vt:lpstr>
      <vt:lpstr>C3 – Gobernanza de datos</vt:lpstr>
      <vt:lpstr>C4 – Arquitectura de datos</vt:lpstr>
      <vt:lpstr>C5 – Calidad de datos</vt:lpstr>
      <vt:lpstr>C6 – Control y riesgo de da</vt:lpstr>
      <vt:lpstr>C7 – Metadatos</vt:lpstr>
      <vt:lpstr>C8 – Analítica e inteligenc</vt:lpstr>
      <vt:lpstr>Diagnóstico y Radar</vt:lpstr>
      <vt:lpstr>Plan de Mejora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Rolando Vinicio Casigña Parra</cp:lastModifiedBy>
  <dcterms:created xsi:type="dcterms:W3CDTF">2026-05-27T19:52:09Z</dcterms:created>
  <dcterms:modified xsi:type="dcterms:W3CDTF">2026-07-22T03:28:15Z</dcterms:modified>
</cp:coreProperties>
</file>